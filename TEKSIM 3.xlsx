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tri 1 Server" sheetId="1" r:id="rId4"/>
    <sheet state="visible" name="Antri 2 Server (ERROR)" sheetId="2" r:id="rId5"/>
  </sheets>
  <definedNames/>
  <calcPr/>
</workbook>
</file>

<file path=xl/sharedStrings.xml><?xml version="1.0" encoding="utf-8"?>
<sst xmlns="http://schemas.openxmlformats.org/spreadsheetml/2006/main" count="27" uniqueCount="24">
  <si>
    <t>Customer</t>
  </si>
  <si>
    <t>Interarrival Time (Distribution)</t>
  </si>
  <si>
    <t>Arrival Time</t>
  </si>
  <si>
    <t>RANDOM</t>
  </si>
  <si>
    <t>Service Time (Distribution)</t>
  </si>
  <si>
    <t>Time Service Begin</t>
  </si>
  <si>
    <t>Waiting Time In Queue</t>
  </si>
  <si>
    <t>Time Service Ends</t>
  </si>
  <si>
    <t>Time Customer Spends in System</t>
  </si>
  <si>
    <t>Idle Time of Servers</t>
  </si>
  <si>
    <t>Waiting</t>
  </si>
  <si>
    <t>Average Waiting Time</t>
  </si>
  <si>
    <t>Probability of Idle Server</t>
  </si>
  <si>
    <t>Average Service Time</t>
  </si>
  <si>
    <t>Caller Number</t>
  </si>
  <si>
    <t>When Abel Available (Priority)</t>
  </si>
  <si>
    <t>When Baker Available</t>
  </si>
  <si>
    <t>Server Chosen</t>
  </si>
  <si>
    <t>Time Service Begins</t>
  </si>
  <si>
    <t>Server Completition Time</t>
  </si>
  <si>
    <t>Caller Delay</t>
  </si>
  <si>
    <t>Time in Systems</t>
  </si>
  <si>
    <t>Abel</t>
  </si>
  <si>
    <t>Baker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</si>
</sst>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1" t="s">
        <v>10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1.0</v>
      </c>
      <c r="B2" s="3">
        <v>0.0</v>
      </c>
      <c r="C2" s="3">
        <v>0.0</v>
      </c>
      <c r="D2" s="3"/>
      <c r="E2" s="3">
        <v>2.0</v>
      </c>
      <c r="F2" s="3">
        <v>0.0</v>
      </c>
      <c r="G2" s="4">
        <f>F2-C2</f>
        <v>0</v>
      </c>
      <c r="H2" s="3">
        <f t="shared" ref="H2:H31" si="1">F2+E2</f>
        <v>2</v>
      </c>
      <c r="I2" s="4">
        <f t="shared" ref="I2:I31" si="2">E2+G2</f>
        <v>2</v>
      </c>
      <c r="L2" s="3">
        <f t="shared" ref="L2:L31" si="3">IF(G2=0,0,1)</f>
        <v>0</v>
      </c>
    </row>
    <row r="3">
      <c r="A3" s="4">
        <f t="shared" ref="A3:A31" si="4">A2+1</f>
        <v>2</v>
      </c>
      <c r="B3" s="3">
        <v>5.0</v>
      </c>
      <c r="C3" s="4">
        <f t="shared" ref="C3:C31" si="5">C2+B3</f>
        <v>5</v>
      </c>
      <c r="D3" s="3"/>
      <c r="E3" s="3">
        <v>2.0</v>
      </c>
      <c r="F3" s="4">
        <f t="shared" ref="F3:F31" si="6">MAX(H2,C3)</f>
        <v>5</v>
      </c>
      <c r="G3" s="4">
        <f>F3-M1</f>
        <v>5</v>
      </c>
      <c r="H3" s="3">
        <f t="shared" si="1"/>
        <v>7</v>
      </c>
      <c r="I3" s="4">
        <f t="shared" si="2"/>
        <v>7</v>
      </c>
      <c r="J3" s="4">
        <f t="shared" ref="J3:J31" si="7">F3-H2</f>
        <v>3</v>
      </c>
      <c r="L3" s="3">
        <f t="shared" si="3"/>
        <v>1</v>
      </c>
    </row>
    <row r="4">
      <c r="A4" s="4">
        <f t="shared" si="4"/>
        <v>3</v>
      </c>
      <c r="B4" s="3">
        <v>5.0</v>
      </c>
      <c r="C4" s="4">
        <f t="shared" si="5"/>
        <v>10</v>
      </c>
      <c r="D4" s="3"/>
      <c r="E4" s="3">
        <v>4.0</v>
      </c>
      <c r="F4" s="4">
        <f t="shared" si="6"/>
        <v>10</v>
      </c>
      <c r="G4" s="4">
        <f t="shared" ref="G4:G31" si="8">F4-C4</f>
        <v>0</v>
      </c>
      <c r="H4" s="3">
        <f t="shared" si="1"/>
        <v>14</v>
      </c>
      <c r="I4" s="4">
        <f t="shared" si="2"/>
        <v>4</v>
      </c>
      <c r="J4" s="4">
        <f t="shared" si="7"/>
        <v>3</v>
      </c>
      <c r="L4" s="3">
        <f t="shared" si="3"/>
        <v>0</v>
      </c>
    </row>
    <row r="5">
      <c r="A5" s="4">
        <f t="shared" si="4"/>
        <v>4</v>
      </c>
      <c r="B5" s="3">
        <v>4.0</v>
      </c>
      <c r="C5" s="4">
        <f t="shared" si="5"/>
        <v>14</v>
      </c>
      <c r="D5" s="3"/>
      <c r="E5" s="3">
        <v>4.0</v>
      </c>
      <c r="F5" s="4">
        <f t="shared" si="6"/>
        <v>14</v>
      </c>
      <c r="G5" s="4">
        <f t="shared" si="8"/>
        <v>0</v>
      </c>
      <c r="H5" s="3">
        <f t="shared" si="1"/>
        <v>18</v>
      </c>
      <c r="I5" s="4">
        <f t="shared" si="2"/>
        <v>4</v>
      </c>
      <c r="J5" s="4">
        <f t="shared" si="7"/>
        <v>0</v>
      </c>
      <c r="L5" s="3">
        <f t="shared" si="3"/>
        <v>0</v>
      </c>
    </row>
    <row r="6">
      <c r="A6" s="4">
        <f t="shared" si="4"/>
        <v>5</v>
      </c>
      <c r="B6" s="3">
        <v>2.0</v>
      </c>
      <c r="C6" s="4">
        <f t="shared" si="5"/>
        <v>16</v>
      </c>
      <c r="D6" s="3"/>
      <c r="E6" s="3">
        <v>3.0</v>
      </c>
      <c r="F6" s="4">
        <f t="shared" si="6"/>
        <v>18</v>
      </c>
      <c r="G6" s="4">
        <f t="shared" si="8"/>
        <v>2</v>
      </c>
      <c r="H6" s="3">
        <f t="shared" si="1"/>
        <v>21</v>
      </c>
      <c r="I6" s="4">
        <f t="shared" si="2"/>
        <v>5</v>
      </c>
      <c r="J6" s="4">
        <f t="shared" si="7"/>
        <v>0</v>
      </c>
      <c r="L6" s="3">
        <f t="shared" si="3"/>
        <v>1</v>
      </c>
    </row>
    <row r="7">
      <c r="A7" s="4">
        <f t="shared" si="4"/>
        <v>6</v>
      </c>
      <c r="B7" s="3">
        <v>8.0</v>
      </c>
      <c r="C7" s="4">
        <f t="shared" si="5"/>
        <v>24</v>
      </c>
      <c r="D7" s="3"/>
      <c r="E7" s="3">
        <v>2.0</v>
      </c>
      <c r="F7" s="4">
        <f t="shared" si="6"/>
        <v>24</v>
      </c>
      <c r="G7" s="4">
        <f t="shared" si="8"/>
        <v>0</v>
      </c>
      <c r="H7" s="3">
        <f t="shared" si="1"/>
        <v>26</v>
      </c>
      <c r="I7" s="4">
        <f t="shared" si="2"/>
        <v>2</v>
      </c>
      <c r="J7" s="4">
        <f t="shared" si="7"/>
        <v>3</v>
      </c>
      <c r="L7" s="3">
        <f t="shared" si="3"/>
        <v>0</v>
      </c>
    </row>
    <row r="8">
      <c r="A8" s="4">
        <f t="shared" si="4"/>
        <v>7</v>
      </c>
      <c r="B8" s="3">
        <v>7.0</v>
      </c>
      <c r="C8" s="4">
        <f t="shared" si="5"/>
        <v>31</v>
      </c>
      <c r="D8" s="3"/>
      <c r="E8" s="3">
        <v>3.0</v>
      </c>
      <c r="F8" s="4">
        <f t="shared" si="6"/>
        <v>31</v>
      </c>
      <c r="G8" s="4">
        <f t="shared" si="8"/>
        <v>0</v>
      </c>
      <c r="H8" s="3">
        <f t="shared" si="1"/>
        <v>34</v>
      </c>
      <c r="I8" s="4">
        <f t="shared" si="2"/>
        <v>3</v>
      </c>
      <c r="J8" s="4">
        <f t="shared" si="7"/>
        <v>5</v>
      </c>
      <c r="L8" s="3">
        <f t="shared" si="3"/>
        <v>0</v>
      </c>
    </row>
    <row r="9">
      <c r="A9" s="4">
        <f t="shared" si="4"/>
        <v>8</v>
      </c>
      <c r="B9" s="3">
        <v>8.0</v>
      </c>
      <c r="C9" s="4">
        <f t="shared" si="5"/>
        <v>39</v>
      </c>
      <c r="D9" s="3"/>
      <c r="E9" s="3">
        <v>5.0</v>
      </c>
      <c r="F9" s="4">
        <f t="shared" si="6"/>
        <v>39</v>
      </c>
      <c r="G9" s="4">
        <f t="shared" si="8"/>
        <v>0</v>
      </c>
      <c r="H9" s="3">
        <f t="shared" si="1"/>
        <v>44</v>
      </c>
      <c r="I9" s="4">
        <f t="shared" si="2"/>
        <v>5</v>
      </c>
      <c r="J9" s="4">
        <f t="shared" si="7"/>
        <v>5</v>
      </c>
      <c r="L9" s="3">
        <f t="shared" si="3"/>
        <v>0</v>
      </c>
    </row>
    <row r="10">
      <c r="A10" s="4">
        <f t="shared" si="4"/>
        <v>9</v>
      </c>
      <c r="B10" s="3">
        <v>5.0</v>
      </c>
      <c r="C10" s="4">
        <f t="shared" si="5"/>
        <v>44</v>
      </c>
      <c r="D10" s="3"/>
      <c r="E10" s="3">
        <v>1.0</v>
      </c>
      <c r="F10" s="4">
        <f t="shared" si="6"/>
        <v>44</v>
      </c>
      <c r="G10" s="4">
        <f t="shared" si="8"/>
        <v>0</v>
      </c>
      <c r="H10" s="3">
        <f t="shared" si="1"/>
        <v>45</v>
      </c>
      <c r="I10" s="4">
        <f t="shared" si="2"/>
        <v>1</v>
      </c>
      <c r="J10" s="4">
        <f t="shared" si="7"/>
        <v>0</v>
      </c>
      <c r="L10" s="3">
        <f t="shared" si="3"/>
        <v>0</v>
      </c>
    </row>
    <row r="11">
      <c r="A11" s="4">
        <f t="shared" si="4"/>
        <v>10</v>
      </c>
      <c r="B11" s="3">
        <v>2.0</v>
      </c>
      <c r="C11" s="4">
        <f t="shared" si="5"/>
        <v>46</v>
      </c>
      <c r="D11" s="3"/>
      <c r="E11" s="3">
        <v>6.0</v>
      </c>
      <c r="F11" s="4">
        <f t="shared" si="6"/>
        <v>46</v>
      </c>
      <c r="G11" s="4">
        <f t="shared" si="8"/>
        <v>0</v>
      </c>
      <c r="H11" s="3">
        <f t="shared" si="1"/>
        <v>52</v>
      </c>
      <c r="I11" s="4">
        <f t="shared" si="2"/>
        <v>6</v>
      </c>
      <c r="J11" s="4">
        <f t="shared" si="7"/>
        <v>1</v>
      </c>
      <c r="L11" s="3">
        <f t="shared" si="3"/>
        <v>0</v>
      </c>
    </row>
    <row r="12">
      <c r="A12" s="4">
        <f t="shared" si="4"/>
        <v>11</v>
      </c>
      <c r="B12" s="3">
        <v>1.0</v>
      </c>
      <c r="C12" s="4">
        <f t="shared" si="5"/>
        <v>47</v>
      </c>
      <c r="D12" s="3"/>
      <c r="E12" s="3">
        <v>4.0</v>
      </c>
      <c r="F12" s="4">
        <f t="shared" si="6"/>
        <v>52</v>
      </c>
      <c r="G12" s="4">
        <f t="shared" si="8"/>
        <v>5</v>
      </c>
      <c r="H12" s="3">
        <f t="shared" si="1"/>
        <v>56</v>
      </c>
      <c r="I12" s="4">
        <f t="shared" si="2"/>
        <v>9</v>
      </c>
      <c r="J12" s="4">
        <f t="shared" si="7"/>
        <v>0</v>
      </c>
      <c r="L12" s="3">
        <f t="shared" si="3"/>
        <v>1</v>
      </c>
    </row>
    <row r="13">
      <c r="A13" s="4">
        <f t="shared" si="4"/>
        <v>12</v>
      </c>
      <c r="B13" s="4">
        <f t="shared" ref="B13:B31" si="9">RANDBETWEEN(1,8)</f>
        <v>3</v>
      </c>
      <c r="C13" s="4">
        <f t="shared" si="5"/>
        <v>50</v>
      </c>
      <c r="D13" s="4">
        <f t="shared" ref="D13:D31" si="10">RAND()</f>
        <v>0.5353279514</v>
      </c>
      <c r="E13" s="4">
        <f t="shared" ref="E13:E31" si="11">IF(D13&lt;0.1,1,IF(D13&lt;0.3,2,IF(D13&lt;0.6,3,IF(D13&lt;0.85,4,IF(D13&lt;0.95,5,6)))))</f>
        <v>3</v>
      </c>
      <c r="F13" s="4">
        <f t="shared" si="6"/>
        <v>56</v>
      </c>
      <c r="G13" s="4">
        <f t="shared" si="8"/>
        <v>6</v>
      </c>
      <c r="H13" s="3">
        <f t="shared" si="1"/>
        <v>59</v>
      </c>
      <c r="I13" s="4">
        <f t="shared" si="2"/>
        <v>9</v>
      </c>
      <c r="J13" s="4">
        <f t="shared" si="7"/>
        <v>0</v>
      </c>
      <c r="L13" s="3">
        <f t="shared" si="3"/>
        <v>1</v>
      </c>
    </row>
    <row r="14">
      <c r="A14" s="4">
        <f t="shared" si="4"/>
        <v>13</v>
      </c>
      <c r="B14" s="4">
        <f t="shared" si="9"/>
        <v>6</v>
      </c>
      <c r="C14" s="4">
        <f t="shared" si="5"/>
        <v>56</v>
      </c>
      <c r="D14" s="4">
        <f t="shared" si="10"/>
        <v>0.1039181916</v>
      </c>
      <c r="E14" s="4">
        <f t="shared" si="11"/>
        <v>2</v>
      </c>
      <c r="F14" s="4">
        <f t="shared" si="6"/>
        <v>59</v>
      </c>
      <c r="G14" s="4">
        <f t="shared" si="8"/>
        <v>3</v>
      </c>
      <c r="H14" s="3">
        <f t="shared" si="1"/>
        <v>61</v>
      </c>
      <c r="I14" s="4">
        <f t="shared" si="2"/>
        <v>5</v>
      </c>
      <c r="J14" s="4">
        <f t="shared" si="7"/>
        <v>0</v>
      </c>
      <c r="L14" s="3">
        <f t="shared" si="3"/>
        <v>1</v>
      </c>
    </row>
    <row r="15">
      <c r="A15" s="4">
        <f t="shared" si="4"/>
        <v>14</v>
      </c>
      <c r="B15" s="4">
        <f t="shared" si="9"/>
        <v>2</v>
      </c>
      <c r="C15" s="4">
        <f t="shared" si="5"/>
        <v>58</v>
      </c>
      <c r="D15" s="4">
        <f t="shared" si="10"/>
        <v>0.3432126162</v>
      </c>
      <c r="E15" s="4">
        <f t="shared" si="11"/>
        <v>3</v>
      </c>
      <c r="F15" s="4">
        <f t="shared" si="6"/>
        <v>61</v>
      </c>
      <c r="G15" s="4">
        <f t="shared" si="8"/>
        <v>3</v>
      </c>
      <c r="H15" s="3">
        <f t="shared" si="1"/>
        <v>64</v>
      </c>
      <c r="I15" s="4">
        <f t="shared" si="2"/>
        <v>6</v>
      </c>
      <c r="J15" s="4">
        <f t="shared" si="7"/>
        <v>0</v>
      </c>
      <c r="L15" s="3">
        <f t="shared" si="3"/>
        <v>1</v>
      </c>
    </row>
    <row r="16">
      <c r="A16" s="4">
        <f t="shared" si="4"/>
        <v>15</v>
      </c>
      <c r="B16" s="4">
        <f t="shared" si="9"/>
        <v>2</v>
      </c>
      <c r="C16" s="4">
        <f t="shared" si="5"/>
        <v>60</v>
      </c>
      <c r="D16" s="4">
        <f t="shared" si="10"/>
        <v>0.2998877414</v>
      </c>
      <c r="E16" s="4">
        <f t="shared" si="11"/>
        <v>2</v>
      </c>
      <c r="F16" s="4">
        <f t="shared" si="6"/>
        <v>64</v>
      </c>
      <c r="G16" s="4">
        <f t="shared" si="8"/>
        <v>4</v>
      </c>
      <c r="H16" s="3">
        <f t="shared" si="1"/>
        <v>66</v>
      </c>
      <c r="I16" s="4">
        <f t="shared" si="2"/>
        <v>6</v>
      </c>
      <c r="J16" s="4">
        <f t="shared" si="7"/>
        <v>0</v>
      </c>
      <c r="L16" s="3">
        <f t="shared" si="3"/>
        <v>1</v>
      </c>
    </row>
    <row r="17">
      <c r="A17" s="4">
        <f t="shared" si="4"/>
        <v>16</v>
      </c>
      <c r="B17" s="4">
        <f t="shared" si="9"/>
        <v>7</v>
      </c>
      <c r="C17" s="4">
        <f t="shared" si="5"/>
        <v>67</v>
      </c>
      <c r="D17" s="4">
        <f t="shared" si="10"/>
        <v>0.05139903069</v>
      </c>
      <c r="E17" s="4">
        <f t="shared" si="11"/>
        <v>1</v>
      </c>
      <c r="F17" s="4">
        <f t="shared" si="6"/>
        <v>67</v>
      </c>
      <c r="G17" s="4">
        <f t="shared" si="8"/>
        <v>0</v>
      </c>
      <c r="H17" s="3">
        <f t="shared" si="1"/>
        <v>68</v>
      </c>
      <c r="I17" s="4">
        <f t="shared" si="2"/>
        <v>1</v>
      </c>
      <c r="J17" s="4">
        <f t="shared" si="7"/>
        <v>1</v>
      </c>
      <c r="L17" s="3">
        <f t="shared" si="3"/>
        <v>0</v>
      </c>
    </row>
    <row r="18">
      <c r="A18" s="4">
        <f t="shared" si="4"/>
        <v>17</v>
      </c>
      <c r="B18" s="4">
        <f t="shared" si="9"/>
        <v>2</v>
      </c>
      <c r="C18" s="4">
        <f t="shared" si="5"/>
        <v>69</v>
      </c>
      <c r="D18" s="4">
        <f t="shared" si="10"/>
        <v>0.302331668</v>
      </c>
      <c r="E18" s="4">
        <f t="shared" si="11"/>
        <v>3</v>
      </c>
      <c r="F18" s="4">
        <f t="shared" si="6"/>
        <v>69</v>
      </c>
      <c r="G18" s="4">
        <f t="shared" si="8"/>
        <v>0</v>
      </c>
      <c r="H18" s="3">
        <f t="shared" si="1"/>
        <v>72</v>
      </c>
      <c r="I18" s="4">
        <f t="shared" si="2"/>
        <v>3</v>
      </c>
      <c r="J18" s="4">
        <f t="shared" si="7"/>
        <v>1</v>
      </c>
      <c r="L18" s="3">
        <f t="shared" si="3"/>
        <v>0</v>
      </c>
    </row>
    <row r="19">
      <c r="A19" s="4">
        <f t="shared" si="4"/>
        <v>18</v>
      </c>
      <c r="B19" s="4">
        <f t="shared" si="9"/>
        <v>7</v>
      </c>
      <c r="C19" s="4">
        <f t="shared" si="5"/>
        <v>76</v>
      </c>
      <c r="D19" s="4">
        <f t="shared" si="10"/>
        <v>0.5511535863</v>
      </c>
      <c r="E19" s="4">
        <f t="shared" si="11"/>
        <v>3</v>
      </c>
      <c r="F19" s="4">
        <f t="shared" si="6"/>
        <v>76</v>
      </c>
      <c r="G19" s="4">
        <f t="shared" si="8"/>
        <v>0</v>
      </c>
      <c r="H19" s="3">
        <f t="shared" si="1"/>
        <v>79</v>
      </c>
      <c r="I19" s="4">
        <f t="shared" si="2"/>
        <v>3</v>
      </c>
      <c r="J19" s="4">
        <f t="shared" si="7"/>
        <v>4</v>
      </c>
      <c r="L19" s="3">
        <f t="shared" si="3"/>
        <v>0</v>
      </c>
    </row>
    <row r="20">
      <c r="A20" s="4">
        <f t="shared" si="4"/>
        <v>19</v>
      </c>
      <c r="B20" s="4">
        <f t="shared" si="9"/>
        <v>4</v>
      </c>
      <c r="C20" s="4">
        <f t="shared" si="5"/>
        <v>80</v>
      </c>
      <c r="D20" s="4">
        <f t="shared" si="10"/>
        <v>0.09317865326</v>
      </c>
      <c r="E20" s="4">
        <f t="shared" si="11"/>
        <v>1</v>
      </c>
      <c r="F20" s="4">
        <f t="shared" si="6"/>
        <v>80</v>
      </c>
      <c r="G20" s="4">
        <f t="shared" si="8"/>
        <v>0</v>
      </c>
      <c r="H20" s="3">
        <f t="shared" si="1"/>
        <v>81</v>
      </c>
      <c r="I20" s="4">
        <f t="shared" si="2"/>
        <v>1</v>
      </c>
      <c r="J20" s="4">
        <f t="shared" si="7"/>
        <v>1</v>
      </c>
      <c r="L20" s="3">
        <f t="shared" si="3"/>
        <v>0</v>
      </c>
    </row>
    <row r="21">
      <c r="A21" s="4">
        <f t="shared" si="4"/>
        <v>20</v>
      </c>
      <c r="B21" s="4">
        <f t="shared" si="9"/>
        <v>3</v>
      </c>
      <c r="C21" s="4">
        <f t="shared" si="5"/>
        <v>83</v>
      </c>
      <c r="D21" s="4">
        <f t="shared" si="10"/>
        <v>0.280639372</v>
      </c>
      <c r="E21" s="4">
        <f t="shared" si="11"/>
        <v>2</v>
      </c>
      <c r="F21" s="4">
        <f t="shared" si="6"/>
        <v>83</v>
      </c>
      <c r="G21" s="4">
        <f t="shared" si="8"/>
        <v>0</v>
      </c>
      <c r="H21" s="3">
        <f t="shared" si="1"/>
        <v>85</v>
      </c>
      <c r="I21" s="4">
        <f t="shared" si="2"/>
        <v>2</v>
      </c>
      <c r="J21" s="4">
        <f t="shared" si="7"/>
        <v>2</v>
      </c>
      <c r="L21" s="3">
        <f t="shared" si="3"/>
        <v>0</v>
      </c>
    </row>
    <row r="22">
      <c r="A22" s="4">
        <f t="shared" si="4"/>
        <v>21</v>
      </c>
      <c r="B22" s="4">
        <f t="shared" si="9"/>
        <v>2</v>
      </c>
      <c r="C22" s="4">
        <f t="shared" si="5"/>
        <v>85</v>
      </c>
      <c r="D22" s="4">
        <f t="shared" si="10"/>
        <v>0.2492649215</v>
      </c>
      <c r="E22" s="4">
        <f t="shared" si="11"/>
        <v>2</v>
      </c>
      <c r="F22" s="4">
        <f t="shared" si="6"/>
        <v>85</v>
      </c>
      <c r="G22" s="4">
        <f t="shared" si="8"/>
        <v>0</v>
      </c>
      <c r="H22" s="3">
        <f t="shared" si="1"/>
        <v>87</v>
      </c>
      <c r="I22" s="4">
        <f t="shared" si="2"/>
        <v>2</v>
      </c>
      <c r="J22" s="4">
        <f t="shared" si="7"/>
        <v>0</v>
      </c>
      <c r="L22" s="3">
        <f t="shared" si="3"/>
        <v>0</v>
      </c>
    </row>
    <row r="23">
      <c r="A23" s="4">
        <f t="shared" si="4"/>
        <v>22</v>
      </c>
      <c r="B23" s="4">
        <f t="shared" si="9"/>
        <v>4</v>
      </c>
      <c r="C23" s="4">
        <f t="shared" si="5"/>
        <v>89</v>
      </c>
      <c r="D23" s="4">
        <f t="shared" si="10"/>
        <v>0.8806417389</v>
      </c>
      <c r="E23" s="4">
        <f t="shared" si="11"/>
        <v>5</v>
      </c>
      <c r="F23" s="4">
        <f t="shared" si="6"/>
        <v>89</v>
      </c>
      <c r="G23" s="4">
        <f t="shared" si="8"/>
        <v>0</v>
      </c>
      <c r="H23" s="3">
        <f t="shared" si="1"/>
        <v>94</v>
      </c>
      <c r="I23" s="4">
        <f t="shared" si="2"/>
        <v>5</v>
      </c>
      <c r="J23" s="4">
        <f t="shared" si="7"/>
        <v>2</v>
      </c>
      <c r="L23" s="3">
        <f t="shared" si="3"/>
        <v>0</v>
      </c>
    </row>
    <row r="24">
      <c r="A24" s="4">
        <f t="shared" si="4"/>
        <v>23</v>
      </c>
      <c r="B24" s="4">
        <f t="shared" si="9"/>
        <v>4</v>
      </c>
      <c r="C24" s="4">
        <f t="shared" si="5"/>
        <v>93</v>
      </c>
      <c r="D24" s="4">
        <f t="shared" si="10"/>
        <v>0.8239143564</v>
      </c>
      <c r="E24" s="4">
        <f t="shared" si="11"/>
        <v>4</v>
      </c>
      <c r="F24" s="4">
        <f t="shared" si="6"/>
        <v>94</v>
      </c>
      <c r="G24" s="4">
        <f t="shared" si="8"/>
        <v>1</v>
      </c>
      <c r="H24" s="3">
        <f t="shared" si="1"/>
        <v>98</v>
      </c>
      <c r="I24" s="4">
        <f t="shared" si="2"/>
        <v>5</v>
      </c>
      <c r="J24" s="4">
        <f t="shared" si="7"/>
        <v>0</v>
      </c>
      <c r="L24" s="3">
        <f t="shared" si="3"/>
        <v>1</v>
      </c>
    </row>
    <row r="25">
      <c r="A25" s="4">
        <f t="shared" si="4"/>
        <v>24</v>
      </c>
      <c r="B25" s="4">
        <f t="shared" si="9"/>
        <v>5</v>
      </c>
      <c r="C25" s="4">
        <f t="shared" si="5"/>
        <v>98</v>
      </c>
      <c r="D25" s="4">
        <f t="shared" si="10"/>
        <v>0.7759640652</v>
      </c>
      <c r="E25" s="4">
        <f t="shared" si="11"/>
        <v>4</v>
      </c>
      <c r="F25" s="4">
        <f t="shared" si="6"/>
        <v>98</v>
      </c>
      <c r="G25" s="4">
        <f t="shared" si="8"/>
        <v>0</v>
      </c>
      <c r="H25" s="3">
        <f t="shared" si="1"/>
        <v>102</v>
      </c>
      <c r="I25" s="4">
        <f t="shared" si="2"/>
        <v>4</v>
      </c>
      <c r="J25" s="4">
        <f t="shared" si="7"/>
        <v>0</v>
      </c>
      <c r="L25" s="3">
        <f t="shared" si="3"/>
        <v>0</v>
      </c>
    </row>
    <row r="26">
      <c r="A26" s="4">
        <f t="shared" si="4"/>
        <v>25</v>
      </c>
      <c r="B26" s="4">
        <f t="shared" si="9"/>
        <v>5</v>
      </c>
      <c r="C26" s="4">
        <f t="shared" si="5"/>
        <v>103</v>
      </c>
      <c r="D26" s="4">
        <f t="shared" si="10"/>
        <v>0.6084090522</v>
      </c>
      <c r="E26" s="4">
        <f t="shared" si="11"/>
        <v>4</v>
      </c>
      <c r="F26" s="4">
        <f t="shared" si="6"/>
        <v>103</v>
      </c>
      <c r="G26" s="4">
        <f t="shared" si="8"/>
        <v>0</v>
      </c>
      <c r="H26" s="3">
        <f t="shared" si="1"/>
        <v>107</v>
      </c>
      <c r="I26" s="4">
        <f t="shared" si="2"/>
        <v>4</v>
      </c>
      <c r="J26" s="4">
        <f t="shared" si="7"/>
        <v>1</v>
      </c>
      <c r="L26" s="3">
        <f t="shared" si="3"/>
        <v>0</v>
      </c>
    </row>
    <row r="27">
      <c r="A27" s="4">
        <f t="shared" si="4"/>
        <v>26</v>
      </c>
      <c r="B27" s="4">
        <f t="shared" si="9"/>
        <v>6</v>
      </c>
      <c r="C27" s="4">
        <f t="shared" si="5"/>
        <v>109</v>
      </c>
      <c r="D27" s="4">
        <f t="shared" si="10"/>
        <v>0.3828465934</v>
      </c>
      <c r="E27" s="4">
        <f t="shared" si="11"/>
        <v>3</v>
      </c>
      <c r="F27" s="4">
        <f t="shared" si="6"/>
        <v>109</v>
      </c>
      <c r="G27" s="4">
        <f t="shared" si="8"/>
        <v>0</v>
      </c>
      <c r="H27" s="3">
        <f t="shared" si="1"/>
        <v>112</v>
      </c>
      <c r="I27" s="4">
        <f t="shared" si="2"/>
        <v>3</v>
      </c>
      <c r="J27" s="4">
        <f t="shared" si="7"/>
        <v>2</v>
      </c>
      <c r="L27" s="3">
        <f t="shared" si="3"/>
        <v>0</v>
      </c>
    </row>
    <row r="28">
      <c r="A28" s="4">
        <f t="shared" si="4"/>
        <v>27</v>
      </c>
      <c r="B28" s="4">
        <f t="shared" si="9"/>
        <v>4</v>
      </c>
      <c r="C28" s="4">
        <f t="shared" si="5"/>
        <v>113</v>
      </c>
      <c r="D28" s="4">
        <f t="shared" si="10"/>
        <v>0.7138475464</v>
      </c>
      <c r="E28" s="4">
        <f t="shared" si="11"/>
        <v>4</v>
      </c>
      <c r="F28" s="4">
        <f t="shared" si="6"/>
        <v>113</v>
      </c>
      <c r="G28" s="4">
        <f t="shared" si="8"/>
        <v>0</v>
      </c>
      <c r="H28" s="3">
        <f t="shared" si="1"/>
        <v>117</v>
      </c>
      <c r="I28" s="4">
        <f t="shared" si="2"/>
        <v>4</v>
      </c>
      <c r="J28" s="4">
        <f t="shared" si="7"/>
        <v>1</v>
      </c>
      <c r="L28" s="3">
        <f t="shared" si="3"/>
        <v>0</v>
      </c>
    </row>
    <row r="29">
      <c r="A29" s="4">
        <f t="shared" si="4"/>
        <v>28</v>
      </c>
      <c r="B29" s="4">
        <f t="shared" si="9"/>
        <v>6</v>
      </c>
      <c r="C29" s="4">
        <f t="shared" si="5"/>
        <v>119</v>
      </c>
      <c r="D29" s="4">
        <f t="shared" si="10"/>
        <v>0.8686105495</v>
      </c>
      <c r="E29" s="4">
        <f t="shared" si="11"/>
        <v>5</v>
      </c>
      <c r="F29" s="4">
        <f t="shared" si="6"/>
        <v>119</v>
      </c>
      <c r="G29" s="4">
        <f t="shared" si="8"/>
        <v>0</v>
      </c>
      <c r="H29" s="3">
        <f t="shared" si="1"/>
        <v>124</v>
      </c>
      <c r="I29" s="4">
        <f t="shared" si="2"/>
        <v>5</v>
      </c>
      <c r="J29" s="4">
        <f t="shared" si="7"/>
        <v>2</v>
      </c>
      <c r="L29" s="3">
        <f t="shared" si="3"/>
        <v>0</v>
      </c>
    </row>
    <row r="30">
      <c r="A30" s="4">
        <f t="shared" si="4"/>
        <v>29</v>
      </c>
      <c r="B30" s="4">
        <f t="shared" si="9"/>
        <v>6</v>
      </c>
      <c r="C30" s="4">
        <f t="shared" si="5"/>
        <v>125</v>
      </c>
      <c r="D30" s="4">
        <f t="shared" si="10"/>
        <v>0.3018774696</v>
      </c>
      <c r="E30" s="4">
        <f t="shared" si="11"/>
        <v>3</v>
      </c>
      <c r="F30" s="4">
        <f t="shared" si="6"/>
        <v>125</v>
      </c>
      <c r="G30" s="4">
        <f t="shared" si="8"/>
        <v>0</v>
      </c>
      <c r="H30" s="3">
        <f t="shared" si="1"/>
        <v>128</v>
      </c>
      <c r="I30" s="4">
        <f t="shared" si="2"/>
        <v>3</v>
      </c>
      <c r="J30" s="4">
        <f t="shared" si="7"/>
        <v>1</v>
      </c>
      <c r="L30" s="3">
        <f t="shared" si="3"/>
        <v>0</v>
      </c>
    </row>
    <row r="31">
      <c r="A31" s="4">
        <f t="shared" si="4"/>
        <v>30</v>
      </c>
      <c r="B31" s="4">
        <f t="shared" si="9"/>
        <v>6</v>
      </c>
      <c r="C31" s="4">
        <f t="shared" si="5"/>
        <v>131</v>
      </c>
      <c r="D31" s="4">
        <f t="shared" si="10"/>
        <v>0.8805322067</v>
      </c>
      <c r="E31" s="4">
        <f t="shared" si="11"/>
        <v>5</v>
      </c>
      <c r="F31" s="4">
        <f t="shared" si="6"/>
        <v>131</v>
      </c>
      <c r="G31" s="4">
        <f t="shared" si="8"/>
        <v>0</v>
      </c>
      <c r="H31" s="3">
        <f t="shared" si="1"/>
        <v>136</v>
      </c>
      <c r="I31" s="4">
        <f t="shared" si="2"/>
        <v>5</v>
      </c>
      <c r="J31" s="4">
        <f t="shared" si="7"/>
        <v>3</v>
      </c>
      <c r="L31" s="3">
        <f t="shared" si="3"/>
        <v>0</v>
      </c>
    </row>
    <row r="33">
      <c r="A33" s="3" t="s">
        <v>11</v>
      </c>
      <c r="C33" s="4">
        <f>SUM(G2:G31)/30</f>
        <v>0.9666666667</v>
      </c>
    </row>
    <row r="34">
      <c r="A34" s="3" t="s">
        <v>12</v>
      </c>
      <c r="C34" s="4">
        <f>SUM(L2:L31)/30</f>
        <v>0.2666666667</v>
      </c>
    </row>
    <row r="35">
      <c r="A35" s="3" t="s">
        <v>13</v>
      </c>
      <c r="C35" s="4">
        <f>SUM(E2:E31)/30</f>
        <v>3.166666667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</v>
      </c>
      <c r="C1" s="1" t="s">
        <v>2</v>
      </c>
      <c r="D1" s="1" t="s">
        <v>15</v>
      </c>
      <c r="E1" s="1" t="s">
        <v>16</v>
      </c>
      <c r="F1" s="1" t="s">
        <v>17</v>
      </c>
      <c r="G1" s="1" t="s">
        <v>4</v>
      </c>
      <c r="H1" s="1" t="s">
        <v>18</v>
      </c>
      <c r="I1" s="1" t="s">
        <v>19</v>
      </c>
      <c r="K1" s="1" t="s">
        <v>20</v>
      </c>
      <c r="L1" s="1" t="s">
        <v>21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I2" s="3" t="s">
        <v>22</v>
      </c>
      <c r="J2" s="3" t="s">
        <v>23</v>
      </c>
    </row>
    <row r="3">
      <c r="A3" s="3">
        <v>1.0</v>
      </c>
      <c r="B3" s="3">
        <v>0.0</v>
      </c>
      <c r="C3" s="3">
        <v>0.0</v>
      </c>
      <c r="D3" s="3">
        <v>0.0</v>
      </c>
      <c r="E3" s="3">
        <v>0.0</v>
      </c>
      <c r="F3" s="3" t="str">
        <f t="shared" ref="F3:F12" si="1">IF(D3&lt;=E3,"Abel","Baker")</f>
        <v>Abel</v>
      </c>
      <c r="G3" s="3">
        <v>4.0</v>
      </c>
      <c r="H3" s="3">
        <v>0.0</v>
      </c>
      <c r="I3" s="4">
        <f t="shared" ref="I3:I12" si="2">if(F3="Abel",G3+H3,"")</f>
        <v>4</v>
      </c>
      <c r="J3" s="4" t="str">
        <f>if(F3="Baker",G3+H3,"")</f>
        <v/>
      </c>
    </row>
    <row r="4">
      <c r="A4" s="4">
        <f t="shared" ref="A4:A12" si="3">A3+1</f>
        <v>2</v>
      </c>
      <c r="B4" s="3">
        <v>1.0</v>
      </c>
      <c r="C4" s="4">
        <f t="shared" ref="C4:C12" si="4">B4+C3</f>
        <v>1</v>
      </c>
      <c r="D4" s="4">
        <f t="shared" ref="D4:D12" si="5">MAX($I$3:I3)</f>
        <v>4</v>
      </c>
      <c r="F4" s="3" t="str">
        <f t="shared" si="1"/>
        <v>Baker</v>
      </c>
      <c r="G4" s="3">
        <v>4.0</v>
      </c>
      <c r="H4" s="4">
        <f t="shared" ref="H4:H12" si="6">MAX(C4, MIN(D4, E4))</f>
        <v>4</v>
      </c>
      <c r="I4" s="4" t="str">
        <f t="shared" si="2"/>
        <v/>
      </c>
      <c r="J4" s="4">
        <f>if(F4="Baker",G4+K8,"")</f>
        <v>4</v>
      </c>
    </row>
    <row r="5">
      <c r="A5" s="4">
        <f t="shared" si="3"/>
        <v>3</v>
      </c>
      <c r="B5" s="3">
        <v>1.0</v>
      </c>
      <c r="C5" s="4">
        <f t="shared" si="4"/>
        <v>2</v>
      </c>
      <c r="D5" s="4">
        <f t="shared" si="5"/>
        <v>4</v>
      </c>
      <c r="F5" s="3" t="str">
        <f t="shared" si="1"/>
        <v>Baker</v>
      </c>
      <c r="G5" s="3">
        <v>3.0</v>
      </c>
      <c r="H5" s="4">
        <f t="shared" si="6"/>
        <v>4</v>
      </c>
      <c r="I5" s="4" t="str">
        <f t="shared" si="2"/>
        <v/>
      </c>
      <c r="J5" s="4">
        <f t="shared" ref="J5:J12" si="7">if(F5="Baker",G5+H5,"")</f>
        <v>7</v>
      </c>
    </row>
    <row r="6">
      <c r="A6" s="4">
        <f t="shared" si="3"/>
        <v>4</v>
      </c>
      <c r="B6" s="3">
        <v>3.0</v>
      </c>
      <c r="C6" s="4">
        <f t="shared" si="4"/>
        <v>5</v>
      </c>
      <c r="D6" s="4">
        <f t="shared" si="5"/>
        <v>4</v>
      </c>
      <c r="F6" s="3" t="str">
        <f t="shared" si="1"/>
        <v>Baker</v>
      </c>
      <c r="G6" s="3">
        <v>3.0</v>
      </c>
      <c r="H6" s="4">
        <f t="shared" si="6"/>
        <v>5</v>
      </c>
      <c r="I6" s="4" t="str">
        <f t="shared" si="2"/>
        <v/>
      </c>
      <c r="J6" s="4">
        <f t="shared" si="7"/>
        <v>8</v>
      </c>
    </row>
    <row r="7">
      <c r="A7" s="4">
        <f t="shared" si="3"/>
        <v>5</v>
      </c>
      <c r="B7" s="3">
        <v>2.0</v>
      </c>
      <c r="C7" s="4">
        <f t="shared" si="4"/>
        <v>7</v>
      </c>
      <c r="D7" s="4">
        <f t="shared" si="5"/>
        <v>4</v>
      </c>
      <c r="F7" s="3" t="str">
        <f t="shared" si="1"/>
        <v>Baker</v>
      </c>
      <c r="G7" s="3">
        <v>5.0</v>
      </c>
      <c r="H7" s="4">
        <f t="shared" si="6"/>
        <v>7</v>
      </c>
      <c r="I7" s="4" t="str">
        <f t="shared" si="2"/>
        <v/>
      </c>
      <c r="J7" s="4">
        <f t="shared" si="7"/>
        <v>12</v>
      </c>
    </row>
    <row r="8">
      <c r="A8" s="4">
        <f t="shared" si="3"/>
        <v>6</v>
      </c>
      <c r="B8" s="3">
        <v>2.0</v>
      </c>
      <c r="C8" s="4">
        <f t="shared" si="4"/>
        <v>9</v>
      </c>
      <c r="D8" s="4">
        <f t="shared" si="5"/>
        <v>4</v>
      </c>
      <c r="F8" s="3" t="str">
        <f t="shared" si="1"/>
        <v>Baker</v>
      </c>
      <c r="G8" s="3">
        <v>5.0</v>
      </c>
      <c r="H8" s="4">
        <f t="shared" si="6"/>
        <v>9</v>
      </c>
      <c r="I8" s="4" t="str">
        <f t="shared" si="2"/>
        <v/>
      </c>
      <c r="J8" s="4">
        <f t="shared" si="7"/>
        <v>14</v>
      </c>
    </row>
    <row r="9">
      <c r="A9" s="4">
        <f t="shared" si="3"/>
        <v>7</v>
      </c>
      <c r="B9" s="3">
        <v>1.0</v>
      </c>
      <c r="C9" s="4">
        <f t="shared" si="4"/>
        <v>10</v>
      </c>
      <c r="D9" s="4">
        <f t="shared" si="5"/>
        <v>4</v>
      </c>
      <c r="F9" s="3" t="str">
        <f t="shared" si="1"/>
        <v>Baker</v>
      </c>
      <c r="G9" s="3">
        <v>5.0</v>
      </c>
      <c r="H9" s="4">
        <f t="shared" si="6"/>
        <v>10</v>
      </c>
      <c r="I9" s="4" t="str">
        <f t="shared" si="2"/>
        <v/>
      </c>
      <c r="J9" s="4">
        <f t="shared" si="7"/>
        <v>15</v>
      </c>
    </row>
    <row r="10">
      <c r="A10" s="4">
        <f t="shared" si="3"/>
        <v>8</v>
      </c>
      <c r="B10" s="3">
        <v>2.0</v>
      </c>
      <c r="C10" s="4">
        <f t="shared" si="4"/>
        <v>12</v>
      </c>
      <c r="D10" s="4">
        <f t="shared" si="5"/>
        <v>4</v>
      </c>
      <c r="F10" s="3" t="str">
        <f t="shared" si="1"/>
        <v>Baker</v>
      </c>
      <c r="G10" s="3">
        <v>4.0</v>
      </c>
      <c r="H10" s="4">
        <f t="shared" si="6"/>
        <v>12</v>
      </c>
      <c r="I10" s="4" t="str">
        <f t="shared" si="2"/>
        <v/>
      </c>
      <c r="J10" s="4">
        <f t="shared" si="7"/>
        <v>16</v>
      </c>
    </row>
    <row r="11">
      <c r="A11" s="4">
        <f t="shared" si="3"/>
        <v>9</v>
      </c>
      <c r="B11" s="3">
        <v>4.0</v>
      </c>
      <c r="C11" s="4">
        <f t="shared" si="4"/>
        <v>16</v>
      </c>
      <c r="D11" s="4">
        <f t="shared" si="5"/>
        <v>4</v>
      </c>
      <c r="F11" s="3" t="str">
        <f t="shared" si="1"/>
        <v>Baker</v>
      </c>
      <c r="G11" s="3">
        <v>2.0</v>
      </c>
      <c r="H11" s="4">
        <f t="shared" si="6"/>
        <v>16</v>
      </c>
      <c r="I11" s="4" t="str">
        <f t="shared" si="2"/>
        <v/>
      </c>
      <c r="J11" s="4">
        <f t="shared" si="7"/>
        <v>18</v>
      </c>
    </row>
    <row r="12">
      <c r="A12" s="4">
        <f t="shared" si="3"/>
        <v>10</v>
      </c>
      <c r="B12" s="3">
        <v>1.0</v>
      </c>
      <c r="C12" s="4">
        <f t="shared" si="4"/>
        <v>17</v>
      </c>
      <c r="D12" s="4">
        <f t="shared" si="5"/>
        <v>4</v>
      </c>
      <c r="E12" s="4">
        <f>MAX($J$4:J11)</f>
        <v>18</v>
      </c>
      <c r="F12" s="3" t="str">
        <f t="shared" si="1"/>
        <v>Abel</v>
      </c>
      <c r="G12" s="3">
        <v>3.0</v>
      </c>
      <c r="H12" s="4">
        <f t="shared" si="6"/>
        <v>17</v>
      </c>
      <c r="I12" s="4">
        <f t="shared" si="2"/>
        <v>20</v>
      </c>
      <c r="J12" s="4" t="str">
        <f t="shared" si="7"/>
        <v/>
      </c>
    </row>
  </sheetData>
  <mergeCells count="1">
    <mergeCell ref="I1:J1"/>
  </mergeCells>
  <drawing r:id="rId1"/>
</worksheet>
</file>