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Perkuliahan S1 ITS\Teknik Simulasi\"/>
    </mc:Choice>
  </mc:AlternateContent>
  <xr:revisionPtr revIDLastSave="0" documentId="13_ncr:1_{16EA9510-EBE2-41A0-AEB4-E4D7966BA9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2" i="1"/>
  <c r="B22" i="1"/>
  <c r="B23" i="1"/>
  <c r="B24" i="1"/>
  <c r="B25" i="1"/>
  <c r="B26" i="1"/>
  <c r="B27" i="1"/>
  <c r="B28" i="1"/>
  <c r="B29" i="1"/>
  <c r="B30" i="1"/>
  <c r="B31" i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13" i="1"/>
  <c r="E13" i="1" s="1"/>
  <c r="B14" i="1" l="1"/>
  <c r="B15" i="1"/>
  <c r="B16" i="1"/>
  <c r="B17" i="1"/>
  <c r="B18" i="1"/>
  <c r="B19" i="1"/>
  <c r="B20" i="1"/>
  <c r="B21" i="1"/>
  <c r="B13" i="1"/>
  <c r="C13" i="1" s="1"/>
  <c r="G2" i="1"/>
  <c r="I2" i="1" s="1"/>
  <c r="H2" i="1"/>
  <c r="C3" i="1"/>
  <c r="C4" i="1" s="1"/>
  <c r="C5" i="1" s="1"/>
  <c r="C6" i="1" s="1"/>
  <c r="C7" i="1" s="1"/>
  <c r="C8" i="1" s="1"/>
  <c r="C9" i="1" s="1"/>
  <c r="C10" i="1" s="1"/>
  <c r="C11" i="1" s="1"/>
  <c r="C12" i="1" s="1"/>
  <c r="C14" i="1" l="1"/>
  <c r="F13" i="1"/>
  <c r="C15" i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F3" i="1"/>
  <c r="H3" i="1" s="1"/>
  <c r="F4" i="1" s="1"/>
  <c r="J3" i="1"/>
  <c r="H13" i="1" l="1"/>
  <c r="F14" i="1" s="1"/>
  <c r="J13" i="1"/>
  <c r="G13" i="1"/>
  <c r="L13" i="1" s="1"/>
  <c r="G3" i="1"/>
  <c r="I3" i="1" s="1"/>
  <c r="H4" i="1"/>
  <c r="F5" i="1" s="1"/>
  <c r="G4" i="1"/>
  <c r="I4" i="1" s="1"/>
  <c r="J4" i="1"/>
  <c r="I13" i="1" l="1"/>
  <c r="H14" i="1"/>
  <c r="F15" i="1" s="1"/>
  <c r="J14" i="1"/>
  <c r="G14" i="1"/>
  <c r="H5" i="1"/>
  <c r="F6" i="1" s="1"/>
  <c r="G5" i="1"/>
  <c r="I5" i="1" s="1"/>
  <c r="J5" i="1"/>
  <c r="I14" i="1" l="1"/>
  <c r="L14" i="1"/>
  <c r="H15" i="1"/>
  <c r="F16" i="1" s="1"/>
  <c r="J15" i="1"/>
  <c r="G15" i="1"/>
  <c r="H6" i="1"/>
  <c r="F7" i="1" s="1"/>
  <c r="G6" i="1"/>
  <c r="I6" i="1" s="1"/>
  <c r="J6" i="1"/>
  <c r="I15" i="1" l="1"/>
  <c r="L15" i="1"/>
  <c r="G16" i="1"/>
  <c r="H16" i="1"/>
  <c r="F17" i="1" s="1"/>
  <c r="J16" i="1"/>
  <c r="H7" i="1"/>
  <c r="F8" i="1" s="1"/>
  <c r="G7" i="1"/>
  <c r="I7" i="1" s="1"/>
  <c r="J7" i="1"/>
  <c r="I16" i="1" l="1"/>
  <c r="L16" i="1"/>
  <c r="J17" i="1"/>
  <c r="G17" i="1"/>
  <c r="H17" i="1"/>
  <c r="F18" i="1" s="1"/>
  <c r="H8" i="1"/>
  <c r="F9" i="1" s="1"/>
  <c r="G8" i="1"/>
  <c r="I8" i="1" s="1"/>
  <c r="J8" i="1"/>
  <c r="I17" i="1" l="1"/>
  <c r="L17" i="1"/>
  <c r="G18" i="1"/>
  <c r="L18" i="1" s="1"/>
  <c r="H18" i="1"/>
  <c r="F19" i="1" s="1"/>
  <c r="J18" i="1"/>
  <c r="H9" i="1"/>
  <c r="F10" i="1" s="1"/>
  <c r="J9" i="1"/>
  <c r="G9" i="1"/>
  <c r="I9" i="1" s="1"/>
  <c r="I18" i="1" l="1"/>
  <c r="H19" i="1"/>
  <c r="F20" i="1" s="1"/>
  <c r="G19" i="1"/>
  <c r="J19" i="1"/>
  <c r="H10" i="1"/>
  <c r="F11" i="1" s="1"/>
  <c r="G10" i="1"/>
  <c r="I10" i="1" s="1"/>
  <c r="J10" i="1"/>
  <c r="I19" i="1" l="1"/>
  <c r="L19" i="1"/>
  <c r="G20" i="1"/>
  <c r="H20" i="1"/>
  <c r="F21" i="1" s="1"/>
  <c r="J20" i="1"/>
  <c r="H11" i="1"/>
  <c r="F12" i="1" s="1"/>
  <c r="J11" i="1"/>
  <c r="G11" i="1"/>
  <c r="I11" i="1" s="1"/>
  <c r="I20" i="1" l="1"/>
  <c r="L20" i="1"/>
  <c r="H21" i="1"/>
  <c r="F22" i="1" s="1"/>
  <c r="G21" i="1"/>
  <c r="J21" i="1"/>
  <c r="H12" i="1"/>
  <c r="J12" i="1"/>
  <c r="G12" i="1"/>
  <c r="I12" i="1" s="1"/>
  <c r="I21" i="1" l="1"/>
  <c r="L21" i="1"/>
  <c r="H22" i="1"/>
  <c r="F23" i="1" s="1"/>
  <c r="J22" i="1"/>
  <c r="G22" i="1"/>
  <c r="I22" i="1" l="1"/>
  <c r="L22" i="1"/>
  <c r="H23" i="1"/>
  <c r="F24" i="1" s="1"/>
  <c r="J23" i="1"/>
  <c r="G23" i="1"/>
  <c r="I23" i="1" l="1"/>
  <c r="L23" i="1"/>
  <c r="G24" i="1"/>
  <c r="J24" i="1"/>
  <c r="H24" i="1"/>
  <c r="F25" i="1" s="1"/>
  <c r="I24" i="1" l="1"/>
  <c r="L24" i="1"/>
  <c r="J25" i="1"/>
  <c r="G25" i="1"/>
  <c r="H25" i="1"/>
  <c r="F26" i="1" s="1"/>
  <c r="I25" i="1" l="1"/>
  <c r="L25" i="1"/>
  <c r="G26" i="1"/>
  <c r="J26" i="1"/>
  <c r="H26" i="1"/>
  <c r="F27" i="1" s="1"/>
  <c r="I26" i="1" l="1"/>
  <c r="L26" i="1"/>
  <c r="H27" i="1"/>
  <c r="F28" i="1" s="1"/>
  <c r="G27" i="1"/>
  <c r="J27" i="1"/>
  <c r="I27" i="1" l="1"/>
  <c r="L27" i="1"/>
  <c r="G28" i="1"/>
  <c r="H28" i="1"/>
  <c r="F29" i="1" s="1"/>
  <c r="J28" i="1"/>
  <c r="I28" i="1" l="1"/>
  <c r="L28" i="1"/>
  <c r="H29" i="1"/>
  <c r="F30" i="1" s="1"/>
  <c r="G29" i="1"/>
  <c r="J29" i="1"/>
  <c r="I29" i="1" l="1"/>
  <c r="L29" i="1"/>
  <c r="H30" i="1"/>
  <c r="F31" i="1" s="1"/>
  <c r="J30" i="1"/>
  <c r="G30" i="1"/>
  <c r="I30" i="1" l="1"/>
  <c r="L30" i="1"/>
  <c r="H31" i="1"/>
  <c r="G31" i="1"/>
  <c r="L31" i="1" s="1"/>
  <c r="D34" i="1" s="1"/>
  <c r="J31" i="1"/>
  <c r="I31" i="1" l="1"/>
  <c r="D33" i="1"/>
</calcChain>
</file>

<file path=xl/sharedStrings.xml><?xml version="1.0" encoding="utf-8"?>
<sst xmlns="http://schemas.openxmlformats.org/spreadsheetml/2006/main" count="12" uniqueCount="12">
  <si>
    <t>Customer</t>
  </si>
  <si>
    <t>Interarrival Time</t>
  </si>
  <si>
    <t>Arrival Time</t>
  </si>
  <si>
    <t>Service Time</t>
  </si>
  <si>
    <t>Time Service Begins</t>
  </si>
  <si>
    <t>Waiting Time in Queue</t>
  </si>
  <si>
    <t>Time Service Ends</t>
  </si>
  <si>
    <t>Time Customer Spends in System</t>
  </si>
  <si>
    <t>Idle Time of Servers</t>
  </si>
  <si>
    <t>Average waiting time</t>
  </si>
  <si>
    <t>Apakah menunggu</t>
  </si>
  <si>
    <t>Prob 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</si>
</sst>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="150" zoomScaleNormal="150" workbookViewId="0">
      <pane ySplit="1" topLeftCell="A16" activePane="bottomLeft" state="frozen"/>
      <selection pane="bottomLeft" activeCell="M20" sqref="M20"/>
    </sheetView>
  </sheetViews>
  <sheetFormatPr defaultRowHeight="15" x14ac:dyDescent="0.25"/>
  <cols>
    <col min="1" max="1" width="9.5703125" bestFit="1" customWidth="1"/>
    <col min="2" max="2" width="10.85546875" bestFit="1" customWidth="1"/>
    <col min="9" max="9" width="9.5703125" bestFit="1" customWidth="1"/>
    <col min="12" max="12" width="10.42578125" bestFit="1" customWidth="1"/>
  </cols>
  <sheetData>
    <row r="1" spans="1:12" s="1" customFormat="1" ht="60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10</v>
      </c>
    </row>
    <row r="2" spans="1:12" x14ac:dyDescent="0.25">
      <c r="A2">
        <v>1</v>
      </c>
      <c r="B2">
        <v>0</v>
      </c>
      <c r="C2">
        <v>0</v>
      </c>
      <c r="E2">
        <v>2</v>
      </c>
      <c r="F2">
        <v>0</v>
      </c>
      <c r="G2">
        <f>F2-C2</f>
        <v>0</v>
      </c>
      <c r="H2">
        <f>F2+E2</f>
        <v>2</v>
      </c>
      <c r="I2">
        <f>E2+G2</f>
        <v>2</v>
      </c>
      <c r="L2">
        <f>IF(G2&gt;0,1,0)</f>
        <v>0</v>
      </c>
    </row>
    <row r="3" spans="1:12" x14ac:dyDescent="0.25">
      <c r="A3">
        <v>2</v>
      </c>
      <c r="B3">
        <v>5</v>
      </c>
      <c r="C3">
        <f>C2+B3</f>
        <v>5</v>
      </c>
      <c r="E3">
        <v>2</v>
      </c>
      <c r="F3">
        <f>MAX(H2,C3)</f>
        <v>5</v>
      </c>
      <c r="G3">
        <f t="shared" ref="G3:G12" si="0">F3-C3</f>
        <v>0</v>
      </c>
      <c r="H3">
        <f t="shared" ref="H3:H12" si="1">F3+E3</f>
        <v>7</v>
      </c>
      <c r="I3">
        <f t="shared" ref="I3:I12" si="2">E3+G3</f>
        <v>2</v>
      </c>
      <c r="J3">
        <f>F3-H2</f>
        <v>3</v>
      </c>
      <c r="L3">
        <f t="shared" ref="L3:L31" si="3">IF(G3&gt;0,1,0)</f>
        <v>0</v>
      </c>
    </row>
    <row r="4" spans="1:12" x14ac:dyDescent="0.25">
      <c r="A4">
        <v>3</v>
      </c>
      <c r="B4">
        <v>5</v>
      </c>
      <c r="C4">
        <f t="shared" ref="C4:C31" si="4">C3+B4</f>
        <v>10</v>
      </c>
      <c r="E4">
        <v>4</v>
      </c>
      <c r="F4">
        <f t="shared" ref="F4:F12" si="5">MAX(H3,C4)</f>
        <v>10</v>
      </c>
      <c r="G4">
        <f t="shared" si="0"/>
        <v>0</v>
      </c>
      <c r="H4">
        <f t="shared" si="1"/>
        <v>14</v>
      </c>
      <c r="I4">
        <f t="shared" si="2"/>
        <v>4</v>
      </c>
      <c r="J4">
        <f t="shared" ref="J4:J12" si="6">F4-H3</f>
        <v>3</v>
      </c>
      <c r="L4">
        <f t="shared" si="3"/>
        <v>0</v>
      </c>
    </row>
    <row r="5" spans="1:12" x14ac:dyDescent="0.25">
      <c r="A5">
        <v>4</v>
      </c>
      <c r="B5">
        <v>4</v>
      </c>
      <c r="C5">
        <f t="shared" si="4"/>
        <v>14</v>
      </c>
      <c r="E5">
        <v>4</v>
      </c>
      <c r="F5">
        <f t="shared" si="5"/>
        <v>14</v>
      </c>
      <c r="G5">
        <f t="shared" si="0"/>
        <v>0</v>
      </c>
      <c r="H5">
        <f t="shared" si="1"/>
        <v>18</v>
      </c>
      <c r="I5">
        <f t="shared" si="2"/>
        <v>4</v>
      </c>
      <c r="J5">
        <f t="shared" si="6"/>
        <v>0</v>
      </c>
      <c r="L5">
        <f t="shared" si="3"/>
        <v>0</v>
      </c>
    </row>
    <row r="6" spans="1:12" x14ac:dyDescent="0.25">
      <c r="A6">
        <v>5</v>
      </c>
      <c r="B6">
        <v>2</v>
      </c>
      <c r="C6">
        <f t="shared" si="4"/>
        <v>16</v>
      </c>
      <c r="E6">
        <v>3</v>
      </c>
      <c r="F6">
        <f t="shared" si="5"/>
        <v>18</v>
      </c>
      <c r="G6">
        <f t="shared" si="0"/>
        <v>2</v>
      </c>
      <c r="H6">
        <f t="shared" si="1"/>
        <v>21</v>
      </c>
      <c r="I6">
        <f t="shared" si="2"/>
        <v>5</v>
      </c>
      <c r="J6">
        <f t="shared" si="6"/>
        <v>0</v>
      </c>
      <c r="L6">
        <f t="shared" si="3"/>
        <v>1</v>
      </c>
    </row>
    <row r="7" spans="1:12" x14ac:dyDescent="0.25">
      <c r="A7">
        <v>6</v>
      </c>
      <c r="B7">
        <v>8</v>
      </c>
      <c r="C7">
        <f t="shared" si="4"/>
        <v>24</v>
      </c>
      <c r="E7">
        <v>2</v>
      </c>
      <c r="F7">
        <f t="shared" si="5"/>
        <v>24</v>
      </c>
      <c r="G7">
        <f t="shared" si="0"/>
        <v>0</v>
      </c>
      <c r="H7">
        <f t="shared" si="1"/>
        <v>26</v>
      </c>
      <c r="I7">
        <f t="shared" si="2"/>
        <v>2</v>
      </c>
      <c r="J7">
        <f t="shared" si="6"/>
        <v>3</v>
      </c>
      <c r="L7">
        <f t="shared" si="3"/>
        <v>0</v>
      </c>
    </row>
    <row r="8" spans="1:12" x14ac:dyDescent="0.25">
      <c r="A8">
        <v>7</v>
      </c>
      <c r="B8">
        <v>7</v>
      </c>
      <c r="C8">
        <f t="shared" si="4"/>
        <v>31</v>
      </c>
      <c r="E8">
        <v>3</v>
      </c>
      <c r="F8">
        <f t="shared" si="5"/>
        <v>31</v>
      </c>
      <c r="G8">
        <f t="shared" si="0"/>
        <v>0</v>
      </c>
      <c r="H8">
        <f t="shared" si="1"/>
        <v>34</v>
      </c>
      <c r="I8">
        <f t="shared" si="2"/>
        <v>3</v>
      </c>
      <c r="J8">
        <f t="shared" si="6"/>
        <v>5</v>
      </c>
      <c r="L8">
        <f t="shared" si="3"/>
        <v>0</v>
      </c>
    </row>
    <row r="9" spans="1:12" x14ac:dyDescent="0.25">
      <c r="A9">
        <v>8</v>
      </c>
      <c r="B9">
        <v>8</v>
      </c>
      <c r="C9">
        <f t="shared" si="4"/>
        <v>39</v>
      </c>
      <c r="E9">
        <v>5</v>
      </c>
      <c r="F9">
        <f t="shared" si="5"/>
        <v>39</v>
      </c>
      <c r="G9">
        <f t="shared" si="0"/>
        <v>0</v>
      </c>
      <c r="H9">
        <f t="shared" si="1"/>
        <v>44</v>
      </c>
      <c r="I9">
        <f t="shared" si="2"/>
        <v>5</v>
      </c>
      <c r="J9">
        <f t="shared" si="6"/>
        <v>5</v>
      </c>
      <c r="L9">
        <f t="shared" si="3"/>
        <v>0</v>
      </c>
    </row>
    <row r="10" spans="1:12" x14ac:dyDescent="0.25">
      <c r="A10">
        <v>9</v>
      </c>
      <c r="B10">
        <v>5</v>
      </c>
      <c r="C10">
        <f t="shared" si="4"/>
        <v>44</v>
      </c>
      <c r="E10">
        <v>1</v>
      </c>
      <c r="F10">
        <f t="shared" si="5"/>
        <v>44</v>
      </c>
      <c r="G10">
        <f t="shared" si="0"/>
        <v>0</v>
      </c>
      <c r="H10">
        <f t="shared" si="1"/>
        <v>45</v>
      </c>
      <c r="I10">
        <f t="shared" si="2"/>
        <v>1</v>
      </c>
      <c r="J10">
        <f t="shared" si="6"/>
        <v>0</v>
      </c>
      <c r="L10">
        <f t="shared" si="3"/>
        <v>0</v>
      </c>
    </row>
    <row r="11" spans="1:12" x14ac:dyDescent="0.25">
      <c r="A11">
        <v>10</v>
      </c>
      <c r="B11">
        <v>2</v>
      </c>
      <c r="C11">
        <f t="shared" si="4"/>
        <v>46</v>
      </c>
      <c r="E11">
        <v>6</v>
      </c>
      <c r="F11">
        <f t="shared" si="5"/>
        <v>46</v>
      </c>
      <c r="G11">
        <f t="shared" si="0"/>
        <v>0</v>
      </c>
      <c r="H11">
        <f t="shared" si="1"/>
        <v>52</v>
      </c>
      <c r="I11">
        <f t="shared" si="2"/>
        <v>6</v>
      </c>
      <c r="J11">
        <f t="shared" si="6"/>
        <v>1</v>
      </c>
      <c r="L11">
        <f t="shared" si="3"/>
        <v>0</v>
      </c>
    </row>
    <row r="12" spans="1:12" x14ac:dyDescent="0.25">
      <c r="A12">
        <v>11</v>
      </c>
      <c r="B12">
        <v>1</v>
      </c>
      <c r="C12">
        <f t="shared" si="4"/>
        <v>47</v>
      </c>
      <c r="E12">
        <v>4</v>
      </c>
      <c r="F12">
        <f t="shared" si="5"/>
        <v>52</v>
      </c>
      <c r="G12">
        <f t="shared" si="0"/>
        <v>5</v>
      </c>
      <c r="H12">
        <f t="shared" si="1"/>
        <v>56</v>
      </c>
      <c r="I12">
        <f t="shared" si="2"/>
        <v>9</v>
      </c>
      <c r="J12">
        <f t="shared" si="6"/>
        <v>0</v>
      </c>
      <c r="L12">
        <f t="shared" si="3"/>
        <v>1</v>
      </c>
    </row>
    <row r="13" spans="1:12" x14ac:dyDescent="0.25">
      <c r="A13">
        <v>12</v>
      </c>
      <c r="B13">
        <f ca="1">RANDBETWEEN(1,8)</f>
        <v>6</v>
      </c>
      <c r="C13">
        <f t="shared" ca="1" si="4"/>
        <v>53</v>
      </c>
      <c r="D13">
        <f ca="1">RAND()</f>
        <v>0.84706804853442608</v>
      </c>
      <c r="E13">
        <f ca="1">IF(D13&lt;0.1,1,IF(D13&lt;0.3,2,IF(D13&lt;0.6,3,IF(D13&lt;0.85,4,IF(D13&lt;0.95,5,6)))))</f>
        <v>4</v>
      </c>
      <c r="F13">
        <f t="shared" ref="F13:F31" ca="1" si="7">MAX(H12,C13)</f>
        <v>56</v>
      </c>
      <c r="G13">
        <f t="shared" ref="G13:G31" ca="1" si="8">F13-C13</f>
        <v>3</v>
      </c>
      <c r="H13">
        <f t="shared" ref="H13:H31" ca="1" si="9">F13+E13</f>
        <v>60</v>
      </c>
      <c r="I13">
        <f t="shared" ref="I13:I31" ca="1" si="10">E13+G13</f>
        <v>7</v>
      </c>
      <c r="J13">
        <f t="shared" ref="J13:J31" ca="1" si="11">F13-H12</f>
        <v>0</v>
      </c>
      <c r="L13">
        <f t="shared" ca="1" si="3"/>
        <v>1</v>
      </c>
    </row>
    <row r="14" spans="1:12" x14ac:dyDescent="0.25">
      <c r="A14">
        <v>13</v>
      </c>
      <c r="B14">
        <f t="shared" ref="B14:B31" ca="1" si="12">RANDBETWEEN(1,8)</f>
        <v>3</v>
      </c>
      <c r="C14">
        <f t="shared" ca="1" si="4"/>
        <v>56</v>
      </c>
      <c r="D14">
        <f t="shared" ref="D14:D31" ca="1" si="13">RAND()</f>
        <v>8.969678976100659E-2</v>
      </c>
      <c r="E14">
        <f t="shared" ref="E14:E31" ca="1" si="14">IF(D14&lt;0.1,1,IF(D14&lt;0.3,2,IF(D14&lt;0.6,3,IF(D14&lt;0.85,4,IF(D14&lt;0.95,5,6)))))</f>
        <v>1</v>
      </c>
      <c r="F14">
        <f t="shared" ca="1" si="7"/>
        <v>60</v>
      </c>
      <c r="G14">
        <f t="shared" ca="1" si="8"/>
        <v>4</v>
      </c>
      <c r="H14">
        <f t="shared" ca="1" si="9"/>
        <v>61</v>
      </c>
      <c r="I14">
        <f t="shared" ca="1" si="10"/>
        <v>5</v>
      </c>
      <c r="J14">
        <f t="shared" ca="1" si="11"/>
        <v>0</v>
      </c>
      <c r="L14">
        <f t="shared" ca="1" si="3"/>
        <v>1</v>
      </c>
    </row>
    <row r="15" spans="1:12" x14ac:dyDescent="0.25">
      <c r="A15">
        <v>14</v>
      </c>
      <c r="B15">
        <f t="shared" ca="1" si="12"/>
        <v>5</v>
      </c>
      <c r="C15">
        <f t="shared" ca="1" si="4"/>
        <v>61</v>
      </c>
      <c r="D15">
        <f t="shared" ca="1" si="13"/>
        <v>0.94892764257958895</v>
      </c>
      <c r="E15">
        <f t="shared" ca="1" si="14"/>
        <v>5</v>
      </c>
      <c r="F15">
        <f t="shared" ca="1" si="7"/>
        <v>61</v>
      </c>
      <c r="G15">
        <f t="shared" ca="1" si="8"/>
        <v>0</v>
      </c>
      <c r="H15">
        <f t="shared" ca="1" si="9"/>
        <v>66</v>
      </c>
      <c r="I15">
        <f t="shared" ca="1" si="10"/>
        <v>5</v>
      </c>
      <c r="J15">
        <f t="shared" ca="1" si="11"/>
        <v>0</v>
      </c>
      <c r="L15">
        <f t="shared" ca="1" si="3"/>
        <v>0</v>
      </c>
    </row>
    <row r="16" spans="1:12" x14ac:dyDescent="0.25">
      <c r="A16">
        <v>15</v>
      </c>
      <c r="B16">
        <f t="shared" ca="1" si="12"/>
        <v>5</v>
      </c>
      <c r="C16">
        <f t="shared" ca="1" si="4"/>
        <v>66</v>
      </c>
      <c r="D16">
        <f t="shared" ca="1" si="13"/>
        <v>8.4368624760437161E-2</v>
      </c>
      <c r="E16">
        <f t="shared" ca="1" si="14"/>
        <v>1</v>
      </c>
      <c r="F16">
        <f t="shared" ca="1" si="7"/>
        <v>66</v>
      </c>
      <c r="G16">
        <f t="shared" ca="1" si="8"/>
        <v>0</v>
      </c>
      <c r="H16">
        <f t="shared" ca="1" si="9"/>
        <v>67</v>
      </c>
      <c r="I16">
        <f t="shared" ca="1" si="10"/>
        <v>1</v>
      </c>
      <c r="J16">
        <f t="shared" ca="1" si="11"/>
        <v>0</v>
      </c>
      <c r="L16">
        <f t="shared" ca="1" si="3"/>
        <v>0</v>
      </c>
    </row>
    <row r="17" spans="1:12" x14ac:dyDescent="0.25">
      <c r="A17">
        <v>16</v>
      </c>
      <c r="B17">
        <f t="shared" ca="1" si="12"/>
        <v>3</v>
      </c>
      <c r="C17">
        <f t="shared" ca="1" si="4"/>
        <v>69</v>
      </c>
      <c r="D17">
        <f t="shared" ca="1" si="13"/>
        <v>0.49994140587788582</v>
      </c>
      <c r="E17">
        <f t="shared" ca="1" si="14"/>
        <v>3</v>
      </c>
      <c r="F17">
        <f t="shared" ca="1" si="7"/>
        <v>69</v>
      </c>
      <c r="G17">
        <f t="shared" ca="1" si="8"/>
        <v>0</v>
      </c>
      <c r="H17">
        <f t="shared" ca="1" si="9"/>
        <v>72</v>
      </c>
      <c r="I17">
        <f t="shared" ca="1" si="10"/>
        <v>3</v>
      </c>
      <c r="J17">
        <f t="shared" ca="1" si="11"/>
        <v>2</v>
      </c>
      <c r="L17">
        <f t="shared" ca="1" si="3"/>
        <v>0</v>
      </c>
    </row>
    <row r="18" spans="1:12" x14ac:dyDescent="0.25">
      <c r="A18">
        <v>17</v>
      </c>
      <c r="B18">
        <f t="shared" ca="1" si="12"/>
        <v>3</v>
      </c>
      <c r="C18">
        <f t="shared" ca="1" si="4"/>
        <v>72</v>
      </c>
      <c r="D18">
        <f t="shared" ca="1" si="13"/>
        <v>0.22313093519723282</v>
      </c>
      <c r="E18">
        <f t="shared" ca="1" si="14"/>
        <v>2</v>
      </c>
      <c r="F18">
        <f t="shared" ca="1" si="7"/>
        <v>72</v>
      </c>
      <c r="G18">
        <f t="shared" ca="1" si="8"/>
        <v>0</v>
      </c>
      <c r="H18">
        <f t="shared" ca="1" si="9"/>
        <v>74</v>
      </c>
      <c r="I18">
        <f t="shared" ca="1" si="10"/>
        <v>2</v>
      </c>
      <c r="J18">
        <f t="shared" ca="1" si="11"/>
        <v>0</v>
      </c>
      <c r="L18">
        <f t="shared" ca="1" si="3"/>
        <v>0</v>
      </c>
    </row>
    <row r="19" spans="1:12" x14ac:dyDescent="0.25">
      <c r="A19">
        <v>18</v>
      </c>
      <c r="B19">
        <f t="shared" ca="1" si="12"/>
        <v>7</v>
      </c>
      <c r="C19">
        <f t="shared" ca="1" si="4"/>
        <v>79</v>
      </c>
      <c r="D19">
        <f t="shared" ca="1" si="13"/>
        <v>0.24448509688141895</v>
      </c>
      <c r="E19">
        <f t="shared" ca="1" si="14"/>
        <v>2</v>
      </c>
      <c r="F19">
        <f t="shared" ca="1" si="7"/>
        <v>79</v>
      </c>
      <c r="G19">
        <f t="shared" ca="1" si="8"/>
        <v>0</v>
      </c>
      <c r="H19">
        <f t="shared" ca="1" si="9"/>
        <v>81</v>
      </c>
      <c r="I19">
        <f t="shared" ca="1" si="10"/>
        <v>2</v>
      </c>
      <c r="J19">
        <f t="shared" ca="1" si="11"/>
        <v>5</v>
      </c>
      <c r="L19">
        <f t="shared" ca="1" si="3"/>
        <v>0</v>
      </c>
    </row>
    <row r="20" spans="1:12" x14ac:dyDescent="0.25">
      <c r="A20">
        <v>19</v>
      </c>
      <c r="B20">
        <f t="shared" ca="1" si="12"/>
        <v>6</v>
      </c>
      <c r="C20">
        <f t="shared" ca="1" si="4"/>
        <v>85</v>
      </c>
      <c r="D20">
        <f t="shared" ca="1" si="13"/>
        <v>0.96139375880078926</v>
      </c>
      <c r="E20">
        <f t="shared" ca="1" si="14"/>
        <v>6</v>
      </c>
      <c r="F20">
        <f t="shared" ca="1" si="7"/>
        <v>85</v>
      </c>
      <c r="G20">
        <f t="shared" ca="1" si="8"/>
        <v>0</v>
      </c>
      <c r="H20">
        <f t="shared" ca="1" si="9"/>
        <v>91</v>
      </c>
      <c r="I20">
        <f t="shared" ca="1" si="10"/>
        <v>6</v>
      </c>
      <c r="J20">
        <f t="shared" ca="1" si="11"/>
        <v>4</v>
      </c>
      <c r="L20">
        <f t="shared" ca="1" si="3"/>
        <v>0</v>
      </c>
    </row>
    <row r="21" spans="1:12" x14ac:dyDescent="0.25">
      <c r="A21">
        <v>20</v>
      </c>
      <c r="B21">
        <f t="shared" ca="1" si="12"/>
        <v>4</v>
      </c>
      <c r="C21">
        <f t="shared" ca="1" si="4"/>
        <v>89</v>
      </c>
      <c r="D21">
        <f t="shared" ca="1" si="13"/>
        <v>0.67001925638721016</v>
      </c>
      <c r="E21">
        <f t="shared" ca="1" si="14"/>
        <v>4</v>
      </c>
      <c r="F21">
        <f t="shared" ca="1" si="7"/>
        <v>91</v>
      </c>
      <c r="G21">
        <f t="shared" ca="1" si="8"/>
        <v>2</v>
      </c>
      <c r="H21">
        <f t="shared" ca="1" si="9"/>
        <v>95</v>
      </c>
      <c r="I21">
        <f t="shared" ca="1" si="10"/>
        <v>6</v>
      </c>
      <c r="J21">
        <f t="shared" ca="1" si="11"/>
        <v>0</v>
      </c>
      <c r="L21">
        <f t="shared" ca="1" si="3"/>
        <v>1</v>
      </c>
    </row>
    <row r="22" spans="1:12" x14ac:dyDescent="0.25">
      <c r="A22">
        <v>21</v>
      </c>
      <c r="B22">
        <f t="shared" ca="1" si="12"/>
        <v>5</v>
      </c>
      <c r="C22">
        <f t="shared" ca="1" si="4"/>
        <v>94</v>
      </c>
      <c r="D22">
        <f t="shared" ca="1" si="13"/>
        <v>0.2191673939385046</v>
      </c>
      <c r="E22">
        <f t="shared" ca="1" si="14"/>
        <v>2</v>
      </c>
      <c r="F22">
        <f t="shared" ca="1" si="7"/>
        <v>95</v>
      </c>
      <c r="G22">
        <f t="shared" ca="1" si="8"/>
        <v>1</v>
      </c>
      <c r="H22">
        <f t="shared" ca="1" si="9"/>
        <v>97</v>
      </c>
      <c r="I22">
        <f t="shared" ca="1" si="10"/>
        <v>3</v>
      </c>
      <c r="J22">
        <f t="shared" ca="1" si="11"/>
        <v>0</v>
      </c>
      <c r="L22">
        <f t="shared" ca="1" si="3"/>
        <v>1</v>
      </c>
    </row>
    <row r="23" spans="1:12" x14ac:dyDescent="0.25">
      <c r="A23">
        <v>22</v>
      </c>
      <c r="B23">
        <f t="shared" ca="1" si="12"/>
        <v>7</v>
      </c>
      <c r="C23">
        <f t="shared" ca="1" si="4"/>
        <v>101</v>
      </c>
      <c r="D23">
        <f t="shared" ca="1" si="13"/>
        <v>0.77252340499324934</v>
      </c>
      <c r="E23">
        <f t="shared" ca="1" si="14"/>
        <v>4</v>
      </c>
      <c r="F23">
        <f t="shared" ca="1" si="7"/>
        <v>101</v>
      </c>
      <c r="G23">
        <f t="shared" ca="1" si="8"/>
        <v>0</v>
      </c>
      <c r="H23">
        <f t="shared" ca="1" si="9"/>
        <v>105</v>
      </c>
      <c r="I23">
        <f t="shared" ca="1" si="10"/>
        <v>4</v>
      </c>
      <c r="J23">
        <f t="shared" ca="1" si="11"/>
        <v>4</v>
      </c>
      <c r="L23">
        <f t="shared" ca="1" si="3"/>
        <v>0</v>
      </c>
    </row>
    <row r="24" spans="1:12" x14ac:dyDescent="0.25">
      <c r="A24">
        <v>23</v>
      </c>
      <c r="B24">
        <f t="shared" ca="1" si="12"/>
        <v>3</v>
      </c>
      <c r="C24">
        <f t="shared" ca="1" si="4"/>
        <v>104</v>
      </c>
      <c r="D24">
        <f t="shared" ca="1" si="13"/>
        <v>0.65007601223648681</v>
      </c>
      <c r="E24">
        <f t="shared" ca="1" si="14"/>
        <v>4</v>
      </c>
      <c r="F24">
        <f t="shared" ca="1" si="7"/>
        <v>105</v>
      </c>
      <c r="G24">
        <f t="shared" ca="1" si="8"/>
        <v>1</v>
      </c>
      <c r="H24">
        <f t="shared" ca="1" si="9"/>
        <v>109</v>
      </c>
      <c r="I24">
        <f t="shared" ca="1" si="10"/>
        <v>5</v>
      </c>
      <c r="J24">
        <f t="shared" ca="1" si="11"/>
        <v>0</v>
      </c>
      <c r="L24">
        <f t="shared" ca="1" si="3"/>
        <v>1</v>
      </c>
    </row>
    <row r="25" spans="1:12" x14ac:dyDescent="0.25">
      <c r="A25">
        <v>24</v>
      </c>
      <c r="B25">
        <f t="shared" ca="1" si="12"/>
        <v>6</v>
      </c>
      <c r="C25">
        <f t="shared" ca="1" si="4"/>
        <v>110</v>
      </c>
      <c r="D25">
        <f t="shared" ca="1" si="13"/>
        <v>0.40082533584285773</v>
      </c>
      <c r="E25">
        <f t="shared" ca="1" si="14"/>
        <v>3</v>
      </c>
      <c r="F25">
        <f t="shared" ca="1" si="7"/>
        <v>110</v>
      </c>
      <c r="G25">
        <f t="shared" ca="1" si="8"/>
        <v>0</v>
      </c>
      <c r="H25">
        <f t="shared" ca="1" si="9"/>
        <v>113</v>
      </c>
      <c r="I25">
        <f t="shared" ca="1" si="10"/>
        <v>3</v>
      </c>
      <c r="J25">
        <f t="shared" ca="1" si="11"/>
        <v>1</v>
      </c>
      <c r="L25">
        <f t="shared" ca="1" si="3"/>
        <v>0</v>
      </c>
    </row>
    <row r="26" spans="1:12" x14ac:dyDescent="0.25">
      <c r="A26">
        <v>25</v>
      </c>
      <c r="B26">
        <f t="shared" ca="1" si="12"/>
        <v>6</v>
      </c>
      <c r="C26">
        <f t="shared" ca="1" si="4"/>
        <v>116</v>
      </c>
      <c r="D26">
        <f t="shared" ca="1" si="13"/>
        <v>0.31686422021056448</v>
      </c>
      <c r="E26">
        <f t="shared" ca="1" si="14"/>
        <v>3</v>
      </c>
      <c r="F26">
        <f t="shared" ca="1" si="7"/>
        <v>116</v>
      </c>
      <c r="G26">
        <f t="shared" ca="1" si="8"/>
        <v>0</v>
      </c>
      <c r="H26">
        <f t="shared" ca="1" si="9"/>
        <v>119</v>
      </c>
      <c r="I26">
        <f t="shared" ca="1" si="10"/>
        <v>3</v>
      </c>
      <c r="J26">
        <f t="shared" ca="1" si="11"/>
        <v>3</v>
      </c>
      <c r="L26">
        <f t="shared" ca="1" si="3"/>
        <v>0</v>
      </c>
    </row>
    <row r="27" spans="1:12" x14ac:dyDescent="0.25">
      <c r="A27">
        <v>26</v>
      </c>
      <c r="B27">
        <f t="shared" ca="1" si="12"/>
        <v>8</v>
      </c>
      <c r="C27">
        <f t="shared" ca="1" si="4"/>
        <v>124</v>
      </c>
      <c r="D27">
        <f t="shared" ca="1" si="13"/>
        <v>2.5696721174103043E-2</v>
      </c>
      <c r="E27">
        <f t="shared" ca="1" si="14"/>
        <v>1</v>
      </c>
      <c r="F27">
        <f t="shared" ca="1" si="7"/>
        <v>124</v>
      </c>
      <c r="G27">
        <f t="shared" ca="1" si="8"/>
        <v>0</v>
      </c>
      <c r="H27">
        <f t="shared" ca="1" si="9"/>
        <v>125</v>
      </c>
      <c r="I27">
        <f t="shared" ca="1" si="10"/>
        <v>1</v>
      </c>
      <c r="J27">
        <f t="shared" ca="1" si="11"/>
        <v>5</v>
      </c>
      <c r="L27">
        <f t="shared" ca="1" si="3"/>
        <v>0</v>
      </c>
    </row>
    <row r="28" spans="1:12" x14ac:dyDescent="0.25">
      <c r="A28">
        <v>27</v>
      </c>
      <c r="B28">
        <f t="shared" ca="1" si="12"/>
        <v>8</v>
      </c>
      <c r="C28">
        <f t="shared" ca="1" si="4"/>
        <v>132</v>
      </c>
      <c r="D28">
        <f t="shared" ca="1" si="13"/>
        <v>0.67417780995894361</v>
      </c>
      <c r="E28">
        <f t="shared" ca="1" si="14"/>
        <v>4</v>
      </c>
      <c r="F28">
        <f t="shared" ca="1" si="7"/>
        <v>132</v>
      </c>
      <c r="G28">
        <f t="shared" ca="1" si="8"/>
        <v>0</v>
      </c>
      <c r="H28">
        <f t="shared" ca="1" si="9"/>
        <v>136</v>
      </c>
      <c r="I28">
        <f t="shared" ca="1" si="10"/>
        <v>4</v>
      </c>
      <c r="J28">
        <f t="shared" ca="1" si="11"/>
        <v>7</v>
      </c>
      <c r="L28">
        <f t="shared" ca="1" si="3"/>
        <v>0</v>
      </c>
    </row>
    <row r="29" spans="1:12" x14ac:dyDescent="0.25">
      <c r="A29">
        <v>28</v>
      </c>
      <c r="B29">
        <f t="shared" ca="1" si="12"/>
        <v>2</v>
      </c>
      <c r="C29">
        <f t="shared" ca="1" si="4"/>
        <v>134</v>
      </c>
      <c r="D29">
        <f t="shared" ca="1" si="13"/>
        <v>0.68248274141245302</v>
      </c>
      <c r="E29">
        <f t="shared" ca="1" si="14"/>
        <v>4</v>
      </c>
      <c r="F29">
        <f t="shared" ca="1" si="7"/>
        <v>136</v>
      </c>
      <c r="G29">
        <f t="shared" ca="1" si="8"/>
        <v>2</v>
      </c>
      <c r="H29">
        <f t="shared" ca="1" si="9"/>
        <v>140</v>
      </c>
      <c r="I29">
        <f t="shared" ca="1" si="10"/>
        <v>6</v>
      </c>
      <c r="J29">
        <f t="shared" ca="1" si="11"/>
        <v>0</v>
      </c>
      <c r="L29">
        <f t="shared" ca="1" si="3"/>
        <v>1</v>
      </c>
    </row>
    <row r="30" spans="1:12" x14ac:dyDescent="0.25">
      <c r="A30">
        <v>29</v>
      </c>
      <c r="B30">
        <f t="shared" ca="1" si="12"/>
        <v>2</v>
      </c>
      <c r="C30">
        <f t="shared" ca="1" si="4"/>
        <v>136</v>
      </c>
      <c r="D30">
        <f t="shared" ca="1" si="13"/>
        <v>0.54901659357696608</v>
      </c>
      <c r="E30">
        <f t="shared" ca="1" si="14"/>
        <v>3</v>
      </c>
      <c r="F30">
        <f t="shared" ca="1" si="7"/>
        <v>140</v>
      </c>
      <c r="G30">
        <f t="shared" ca="1" si="8"/>
        <v>4</v>
      </c>
      <c r="H30">
        <f t="shared" ca="1" si="9"/>
        <v>143</v>
      </c>
      <c r="I30">
        <f t="shared" ca="1" si="10"/>
        <v>7</v>
      </c>
      <c r="J30">
        <f t="shared" ca="1" si="11"/>
        <v>0</v>
      </c>
      <c r="L30">
        <f t="shared" ca="1" si="3"/>
        <v>1</v>
      </c>
    </row>
    <row r="31" spans="1:12" x14ac:dyDescent="0.25">
      <c r="A31">
        <v>30</v>
      </c>
      <c r="B31">
        <f t="shared" ca="1" si="12"/>
        <v>2</v>
      </c>
      <c r="C31">
        <f t="shared" ca="1" si="4"/>
        <v>138</v>
      </c>
      <c r="D31">
        <f t="shared" ca="1" si="13"/>
        <v>0.19997896252529201</v>
      </c>
      <c r="E31">
        <f t="shared" ca="1" si="14"/>
        <v>2</v>
      </c>
      <c r="F31">
        <f t="shared" ca="1" si="7"/>
        <v>143</v>
      </c>
      <c r="G31">
        <f t="shared" ca="1" si="8"/>
        <v>5</v>
      </c>
      <c r="H31">
        <f t="shared" ca="1" si="9"/>
        <v>145</v>
      </c>
      <c r="I31">
        <f t="shared" ca="1" si="10"/>
        <v>7</v>
      </c>
      <c r="J31">
        <f t="shared" ca="1" si="11"/>
        <v>0</v>
      </c>
      <c r="L31">
        <f t="shared" ca="1" si="3"/>
        <v>1</v>
      </c>
    </row>
    <row r="33" spans="1:4" x14ac:dyDescent="0.25">
      <c r="A33" t="s">
        <v>9</v>
      </c>
      <c r="D33">
        <f ca="1">SUM(G2:G31)/30</f>
        <v>0.96666666666666667</v>
      </c>
    </row>
    <row r="34" spans="1:4" x14ac:dyDescent="0.25">
      <c r="A34" t="s">
        <v>11</v>
      </c>
      <c r="D34">
        <f ca="1">SUM(L2:L31)/30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100060503</dc:creator>
  <cp:lastModifiedBy>Muhammad Luthfi Shahab</cp:lastModifiedBy>
  <dcterms:created xsi:type="dcterms:W3CDTF">2015-06-05T18:17:20Z</dcterms:created>
  <dcterms:modified xsi:type="dcterms:W3CDTF">2025-09-08T07:25:17Z</dcterms:modified>
</cp:coreProperties>
</file>