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ber Chart1 Distribusi Waktu " sheetId="2" r:id="rId5"/>
    <sheet state="visible" name="Sumber Chart1 Grafik Batang Wak" sheetId="3" r:id="rId6"/>
    <sheet state="visible" name="Chart1 Grafik Batang Waktu Pela" sheetId="4" r:id="rId7"/>
  </sheets>
  <definedNames/>
  <calcPr/>
</workbook>
</file>

<file path=xl/sharedStrings.xml><?xml version="1.0" encoding="utf-8"?>
<sst xmlns="http://schemas.openxmlformats.org/spreadsheetml/2006/main" count="74" uniqueCount="54">
  <si>
    <t xml:space="preserve">Customer </t>
  </si>
  <si>
    <t>Random Digits</t>
  </si>
  <si>
    <t>Interarrival Times (min)</t>
  </si>
  <si>
    <t>Service Times (min)</t>
  </si>
  <si>
    <t>Customer</t>
  </si>
  <si>
    <t>Interarrival Time (min)</t>
  </si>
  <si>
    <t>Arrival Time (clock)</t>
  </si>
  <si>
    <t>Service Time (min)</t>
  </si>
  <si>
    <t>Time Service Begins (clock)</t>
  </si>
  <si>
    <t>Waiting Time in Queue (min)</t>
  </si>
  <si>
    <t>Time Service Ends (clock)</t>
  </si>
  <si>
    <t>Time Customer Spends in System (min)</t>
  </si>
  <si>
    <t>Idle Time of Server (min)</t>
  </si>
  <si>
    <t>0=not, 1 = wait</t>
  </si>
  <si>
    <t>Kedatangan Customer / Interarrival Times</t>
  </si>
  <si>
    <t>-</t>
  </si>
  <si>
    <t>Time Between Arrivals</t>
  </si>
  <si>
    <t>Probability</t>
  </si>
  <si>
    <t>Cumulative Prob</t>
  </si>
  <si>
    <t>0.1</t>
  </si>
  <si>
    <t>001-100</t>
  </si>
  <si>
    <t>101-200</t>
  </si>
  <si>
    <t>201-300</t>
  </si>
  <si>
    <t>301-400</t>
  </si>
  <si>
    <t>401-500</t>
  </si>
  <si>
    <t>501-600</t>
  </si>
  <si>
    <t>601-700</t>
  </si>
  <si>
    <t>Average Waiting time</t>
  </si>
  <si>
    <t>701-800</t>
  </si>
  <si>
    <t>Probability (wait)</t>
  </si>
  <si>
    <t>801-900</t>
  </si>
  <si>
    <t>Probability of Idle Server</t>
  </si>
  <si>
    <t>901-000</t>
  </si>
  <si>
    <t>Hence : probability of Busy Server</t>
  </si>
  <si>
    <t>Waktu Pelayanan / Service Times</t>
  </si>
  <si>
    <t>Average Service Time (min)</t>
  </si>
  <si>
    <t>Check : Expected Service Time</t>
  </si>
  <si>
    <t>001-125</t>
  </si>
  <si>
    <t>Average Interarrival Time (min)</t>
  </si>
  <si>
    <t>126-250</t>
  </si>
  <si>
    <t>Check : Expected Interarrival Time</t>
  </si>
  <si>
    <t>251-375</t>
  </si>
  <si>
    <t>376-500</t>
  </si>
  <si>
    <t>501-625</t>
  </si>
  <si>
    <t>626-750</t>
  </si>
  <si>
    <t>751-875</t>
  </si>
  <si>
    <t>876-000</t>
  </si>
  <si>
    <t>Total</t>
  </si>
  <si>
    <t>Max Value</t>
  </si>
  <si>
    <t>Waktu Mengantre Pelanggan dalam Server</t>
  </si>
  <si>
    <t>Jumlah Customer</t>
  </si>
  <si>
    <t>Waktu idle server</t>
  </si>
  <si>
    <t>Jumlah</t>
  </si>
  <si>
    <t>Waktu pelanggan dalam sistem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</si>
</sst>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Font="1"/>
    <xf borderId="0" fillId="2" fontId="5" numFmtId="0" xfId="0" applyAlignment="1" applyFont="1">
      <alignment horizontal="center" vertical="bottom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5" numFmtId="0" xfId="0" applyAlignment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2" fontId="4" numFmtId="4" xfId="0" applyAlignment="1" applyFont="1" applyNumberFormat="1">
      <alignment horizontal="center" readingOrder="0"/>
    </xf>
    <xf borderId="0" fillId="2" fontId="4" numFmtId="164" xfId="0" applyAlignment="1" applyFont="1" applyNumberFormat="1">
      <alignment horizontal="center"/>
    </xf>
    <xf borderId="0" fillId="3" fontId="5" numFmtId="0" xfId="0" applyAlignment="1" applyFill="1" applyFont="1">
      <alignment vertical="bottom"/>
    </xf>
    <xf borderId="0" fillId="0" fontId="4" numFmtId="0" xfId="0" applyFont="1"/>
    <xf borderId="0" fillId="0" fontId="4" numFmtId="2" xfId="0" applyFont="1" applyNumberFormat="1"/>
    <xf borderId="0" fillId="2" fontId="4" numFmtId="0" xfId="0" applyAlignment="1" applyFont="1">
      <alignment horizontal="center" readingOrder="0"/>
    </xf>
    <xf borderId="0" fillId="3" fontId="5" numFmtId="0" xfId="0" applyAlignment="1" applyFont="1">
      <alignment readingOrder="0" vertical="bottom"/>
    </xf>
    <xf borderId="0" fillId="2" fontId="4" numFmtId="3" xfId="0" applyAlignment="1" applyFont="1" applyNumberFormat="1">
      <alignment horizontal="center" readingOrder="0"/>
    </xf>
    <xf borderId="0" fillId="2" fontId="4" numFmtId="165" xfId="0" applyAlignment="1" applyFont="1" applyNumberFormat="1">
      <alignment horizontal="center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8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  <tableStyle count="3" pivot="0" name="Sheet1-style 3">
      <tableStyleElement dxfId="6" type="headerRow"/>
      <tableStyleElement dxfId="2" type="firstRowStripe"/>
      <tableStyleElement dxfId="7" type="secondRowStripe"/>
    </tableStyle>
    <tableStyle count="3" pivot="0" name="Sheet1-style 4">
      <tableStyleElement dxfId="8" type="headerRow"/>
      <tableStyleElement dxfId="2" type="firstRowStripe"/>
      <tableStyleElement dxfId="9" type="secondRowStripe"/>
    </tableStyle>
    <tableStyle count="3" pivot="0" name="Sheet1-style 5">
      <tableStyleElement dxfId="10" type="headerRow"/>
      <tableStyleElement dxfId="2" type="firstRowStripe"/>
      <tableStyleElement dxfId="11" type="secondRowStripe"/>
    </tableStyle>
    <tableStyle count="4" pivot="0" name="Sumber Chart1 Distribusi Waktu -style">
      <tableStyleElement dxfId="12" type="headerRow"/>
      <tableStyleElement dxfId="2" type="firstRowStripe"/>
      <tableStyleElement dxfId="13" type="secondRowStripe"/>
      <tableStyleElement dxfId="14" size="0" type="wholeTable"/>
    </tableStyle>
    <tableStyle count="4" pivot="0" name="Sumber Chart1 Grafik Batang Wak-style">
      <tableStyleElement dxfId="12" type="headerRow"/>
      <tableStyleElement dxfId="2" type="firstRowStripe"/>
      <tableStyleElement dxfId="13" type="secondRowStripe"/>
      <tableStyleElement dxfId="14" size="0" type="wholeTable"/>
    </tableStyle>
    <tableStyle count="4" pivot="0" name="Chart1 Grafik Batang Waktu Pela-style">
      <tableStyleElement dxfId="12" type="headerRow"/>
      <tableStyleElement dxfId="2" type="firstRowStripe"/>
      <tableStyleElement dxfId="1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Distribusi Lama Waktu Customer di Antrean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'Sumber Chart1 Distribusi Waktu '!$B$1</c:f>
            </c:strRef>
          </c:tx>
          <c:spPr>
            <a:solidFill>
              <a:srgbClr val="6FA8DC"/>
            </a:solidFill>
            <a:ln cmpd="sng" w="38100">
              <a:solidFill>
                <a:srgbClr val="000000">
                  <a:alpha val="100000"/>
                </a:srgbClr>
              </a:solidFill>
              <a:prstDash val="solid"/>
            </a:ln>
          </c:spPr>
          <c:cat>
            <c:strRef>
              <c:f>'Sumber Chart1 Distribusi Waktu '!$A$2:$A$21</c:f>
            </c:strRef>
          </c:cat>
          <c:val>
            <c:numRef>
              <c:f>'Sumber Chart1 Distribusi Waktu '!$B$2:$B$21</c:f>
              <c:numCache/>
            </c:numRef>
          </c:val>
        </c:ser>
        <c:axId val="662170738"/>
        <c:axId val="916711616"/>
      </c:barChart>
      <c:catAx>
        <c:axId val="662170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Waiting Time in Queue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16711616"/>
      </c:catAx>
      <c:valAx>
        <c:axId val="916711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662170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44746"/>
                </a:solidFill>
                <a:latin typeface="+mn-lt"/>
              </a:defRPr>
            </a:pPr>
            <a:r>
              <a:rPr b="1">
                <a:solidFill>
                  <a:srgbClr val="444746"/>
                </a:solidFill>
                <a:latin typeface="+mn-lt"/>
              </a:rPr>
              <a:t>Grafik Batang Waktu Idle Server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'Sumber Chart1 Grafik Batang Wak'!$B$1</c:f>
            </c:strRef>
          </c:tx>
          <c:spPr>
            <a:solidFill>
              <a:srgbClr val="45818E"/>
            </a:solidFill>
            <a:ln cmpd="sng" w="38100">
              <a:solidFill>
                <a:srgbClr val="000000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5"/>
          </c:dPt>
          <c:cat>
            <c:strRef>
              <c:f>'Sumber Chart1 Grafik Batang Wak'!$A$2:$A$9</c:f>
            </c:strRef>
          </c:cat>
          <c:val>
            <c:numRef>
              <c:f>'Sumber Chart1 Grafik Batang Wak'!$B$2:$B$9</c:f>
              <c:numCache/>
            </c:numRef>
          </c:val>
        </c:ser>
        <c:axId val="1289614495"/>
        <c:axId val="267202059"/>
      </c:barChart>
      <c:catAx>
        <c:axId val="128961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Waktu Idle Server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67202059"/>
      </c:catAx>
      <c:valAx>
        <c:axId val="267202059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614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44746"/>
                </a:solidFill>
                <a:latin typeface="+mn-lt"/>
              </a:defRPr>
            </a:pPr>
            <a:r>
              <a:rPr b="1">
                <a:solidFill>
                  <a:srgbClr val="444746"/>
                </a:solidFill>
                <a:latin typeface="+mn-lt"/>
              </a:rPr>
              <a:t>Grafik Batang Waktu Pelanggan dalam Sistem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Grafik Batang Waktu Pela'!$B$1</c:f>
            </c:strRef>
          </c:tx>
          <c:spPr>
            <a:solidFill>
              <a:srgbClr val="E06666"/>
            </a:solidFill>
            <a:ln cmpd="sng" w="38100">
              <a:solidFill>
                <a:srgbClr val="000000">
                  <a:alpha val="100000"/>
                </a:srgbClr>
              </a:solidFill>
            </a:ln>
          </c:spPr>
          <c:dPt>
            <c:idx val="9"/>
          </c:dPt>
          <c:dPt>
            <c:idx val="11"/>
          </c:dPt>
          <c:cat>
            <c:strRef>
              <c:f>'Chart1 Grafik Batang Waktu Pela'!$A$2:$A$25</c:f>
            </c:strRef>
          </c:cat>
          <c:val>
            <c:numRef>
              <c:f>'Chart1 Grafik Batang Waktu Pela'!$B$2:$B$25</c:f>
              <c:numCache/>
            </c:numRef>
          </c:val>
        </c:ser>
        <c:axId val="1780438474"/>
        <c:axId val="1216396871"/>
      </c:barChart>
      <c:catAx>
        <c:axId val="1780438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Waktu Pelanggan dalam Sistem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16396871"/>
      </c:catAx>
      <c:valAx>
        <c:axId val="1216396871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438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Grafik Batang Waktu Idle Server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'Sumber Chart1 Grafik Batang Wak'!$B$1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'Sumber Chart1 Grafik Batang Wak'!$A$2:$A$9</c:f>
            </c:strRef>
          </c:cat>
          <c:val>
            <c:numRef>
              <c:f>'Sumber Chart1 Grafik Batang Wak'!$B$2:$B$9</c:f>
              <c:numCache/>
            </c:numRef>
          </c:val>
        </c:ser>
        <c:axId val="1188584084"/>
        <c:axId val="1183293477"/>
      </c:barChart>
      <c:catAx>
        <c:axId val="1188584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Waktu Idle Server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293477"/>
      </c:catAx>
      <c:valAx>
        <c:axId val="1183293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Frekuensi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584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Grafik Batang Waktu Pelanggan dalam Sistem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Grafik Batang Waktu Pela'!$B$1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Grafik Batang Waktu Pela'!$A$2:$A$25</c:f>
            </c:strRef>
          </c:cat>
          <c:val>
            <c:numRef>
              <c:f>'Chart1 Grafik Batang Waktu Pela'!$B$2:$B$25</c:f>
              <c:numCache/>
            </c:numRef>
          </c:val>
        </c:ser>
        <c:axId val="492071256"/>
        <c:axId val="1427412023"/>
      </c:barChart>
      <c:catAx>
        <c:axId val="492071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Waktu Pelanggan dalam Sistem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412023"/>
      </c:catAx>
      <c:valAx>
        <c:axId val="1427412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Frekuensi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071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190500</xdr:rowOff>
    </xdr:from>
    <xdr:ext cx="5048250" cy="33813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41</xdr:row>
      <xdr:rowOff>142875</xdr:rowOff>
    </xdr:from>
    <xdr:ext cx="5048250" cy="33813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19050</xdr:rowOff>
    </xdr:from>
    <xdr:ext cx="5048250" cy="33813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1</xdr:row>
      <xdr:rowOff>0</xdr:rowOff>
    </xdr:from>
    <xdr:ext cx="6248400" cy="416242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4286250" cy="285750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1:H101" displayName="Table_1" name="Table_1" id="1">
  <tableColumns count="3">
    <tableColumn name="Customer " id="1"/>
    <tableColumn name="Random Digits" id="2"/>
    <tableColumn name="Interarrival Times (min)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I1:K101" displayName="Table_2" name="Table_2" id="2">
  <tableColumns count="3">
    <tableColumn name="Customer " id="1"/>
    <tableColumn name="Random Digits" id="2"/>
    <tableColumn name="Service Times (min)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M1:V103" displayName="Table_3" name="Table_3" id="3">
  <tableColumns count="10">
    <tableColumn name="Customer" id="1"/>
    <tableColumn name="Interarrival Time (min)" id="2"/>
    <tableColumn name="Arrival Time (clock)" id="3"/>
    <tableColumn name="Service Time (min)" id="4"/>
    <tableColumn name="Time Service Begins (clock)" id="5"/>
    <tableColumn name="Waiting Time in Queue (min)" id="6"/>
    <tableColumn name="Time Service Ends (clock)" id="7"/>
    <tableColumn name="Time Customer Spends in System (min)" id="8"/>
    <tableColumn name="Idle Time of Server (min)" id="9"/>
    <tableColumn name="0=not, 1 = wait" id="10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:D13" displayName="Table_4" name="Table_4" id="4">
  <tableColumns count="4">
    <tableColumn name="Time Between Arrivals" id="1"/>
    <tableColumn name="Probability" id="2"/>
    <tableColumn name="Cumulative Prob" id="3"/>
    <tableColumn name="Random Digits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15:D23" displayName="Table_5" name="Table_5" id="5">
  <tableColumns count="4">
    <tableColumn name="Time Between Arrivals" id="1"/>
    <tableColumn name="Probability" id="2"/>
    <tableColumn name="Cumulative Prob" id="3"/>
    <tableColumn name="Random Digits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1:B21" displayName="Distribusi_Waktu_Menganggur_Server" name="Distribusi_Waktu_Menganggur_Server" id="6">
  <tableColumns count="2">
    <tableColumn name="Waktu Mengantre Pelanggan dalam Server" id="1"/>
    <tableColumn name="Jumlah Customer" id="2"/>
  </tableColumns>
  <tableStyleInfo name="Sumber Chart1 Distribusi Waktu -style" showColumnStripes="0" showFirstColumn="1" showLastColumn="1" showRowStripes="1"/>
</table>
</file>

<file path=xl/tables/table7.xml><?xml version="1.0" encoding="utf-8"?>
<table xmlns="http://schemas.openxmlformats.org/spreadsheetml/2006/main" ref="A1:B9" displayName="Grafik_Batang_Waktu_Idle_Server" name="Grafik_Batang_Waktu_Idle_Server" id="7">
  <tableColumns count="2">
    <tableColumn name="Waktu idle server" id="1"/>
    <tableColumn name="Jumlah" id="2"/>
  </tableColumns>
  <tableStyleInfo name="Sumber Chart1 Grafik Batang Wak-style" showColumnStripes="0" showFirstColumn="1" showLastColumn="1" showRowStripes="1"/>
</table>
</file>

<file path=xl/tables/table8.xml><?xml version="1.0" encoding="utf-8"?>
<table xmlns="http://schemas.openxmlformats.org/spreadsheetml/2006/main" ref="A1:B25" displayName="Grafik_Batang_Waktu_Pelanggan_dalam_Sistem" name="Grafik_Batang_Waktu_Pelanggan_dalam_Sistem" id="8">
  <tableColumns count="2">
    <tableColumn name="Waktu pelanggan dalam sistem" id="1"/>
    <tableColumn name="Jumlah" id="2"/>
  </tableColumns>
  <tableStyleInfo name="Chart1 Grafik Batang Waktu Pe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1.88"/>
    <col customWidth="1" min="3" max="3" width="14.0"/>
    <col customWidth="1" min="4" max="4" width="13.88"/>
    <col customWidth="1" min="6" max="6" width="11.63"/>
    <col customWidth="1" min="8" max="8" width="19.63"/>
    <col customWidth="1" min="9" max="9" width="12.13"/>
    <col customWidth="1" min="10" max="10" width="13.25"/>
    <col customWidth="1" min="11" max="11" width="16.75"/>
    <col customWidth="1" min="12" max="12" width="12.63"/>
    <col customWidth="1" min="13" max="13" width="12.0"/>
    <col customWidth="1" min="14" max="14" width="19.0"/>
    <col customWidth="1" min="15" max="15" width="17.88"/>
    <col customWidth="1" min="16" max="16" width="17.0"/>
    <col customWidth="1" min="17" max="17" width="23.25"/>
    <col customWidth="1" min="18" max="18" width="24.0"/>
    <col customWidth="1" min="19" max="19" width="22.38"/>
    <col customWidth="1" min="20" max="20" width="32.75"/>
    <col customWidth="1" min="21" max="21" width="20.75"/>
    <col customWidth="1" min="23" max="23" width="26.5"/>
  </cols>
  <sheetData>
    <row r="1">
      <c r="F1" s="1" t="s">
        <v>0</v>
      </c>
      <c r="G1" s="1" t="s">
        <v>1</v>
      </c>
      <c r="H1" s="1" t="s">
        <v>2</v>
      </c>
      <c r="I1" s="1" t="s">
        <v>0</v>
      </c>
      <c r="J1" s="1" t="s">
        <v>1</v>
      </c>
      <c r="K1" s="1" t="s">
        <v>3</v>
      </c>
      <c r="L1" s="2"/>
      <c r="M1" s="3" t="s">
        <v>4</v>
      </c>
      <c r="N1" s="4" t="s">
        <v>5</v>
      </c>
      <c r="O1" s="4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5" t="s">
        <v>13</v>
      </c>
    </row>
    <row r="2">
      <c r="A2" s="6" t="s">
        <v>14</v>
      </c>
      <c r="E2" s="7"/>
      <c r="F2" s="8">
        <v>1.0</v>
      </c>
      <c r="G2" s="9" t="s">
        <v>15</v>
      </c>
      <c r="H2" s="9" t="s">
        <v>15</v>
      </c>
      <c r="I2" s="8">
        <v>1.0</v>
      </c>
      <c r="J2" s="10">
        <v>65.0</v>
      </c>
      <c r="K2" s="10">
        <f t="shared" ref="K2:K101" si="1">IFS(
  AND(J2&gt;=1, J2&lt;=125), 1,
  AND(J2&gt;=126, J2&lt;=250), 2,
  AND(J2&gt;=251, J2&lt;=375), 3,
  AND(J2&gt;=376, J2&lt;=500), 4,
  AND(J2&gt;=501, J2&lt;=625), 5,
  AND(J2&gt;=626, J2&lt;=750), 6,
  AND(J2&gt;=751, J2&lt;=875), 7,
  OR(J2&gt;=876, J2=0), 8
)
</f>
        <v>1</v>
      </c>
      <c r="L2" s="11"/>
      <c r="M2" s="12">
        <v>1.0</v>
      </c>
      <c r="N2" s="13" t="s">
        <v>15</v>
      </c>
      <c r="O2" s="13">
        <v>0.0</v>
      </c>
      <c r="P2" s="14">
        <f t="shared" ref="P2:P101" si="2">K2</f>
        <v>1</v>
      </c>
      <c r="Q2" s="15">
        <v>0.0</v>
      </c>
      <c r="R2" s="15">
        <f>O2-Q2</f>
        <v>0</v>
      </c>
      <c r="S2" s="15">
        <f t="shared" ref="S2:S101" si="3">Q2+P2</f>
        <v>1</v>
      </c>
      <c r="T2" s="15">
        <f t="shared" ref="T2:T101" si="4">R2+P2</f>
        <v>1</v>
      </c>
      <c r="U2" s="15">
        <v>0.0</v>
      </c>
      <c r="V2" s="16">
        <f t="shared" ref="V2:V101" si="5">IF(R2=0,0,1)</f>
        <v>0</v>
      </c>
    </row>
    <row r="3">
      <c r="A3" s="17" t="s">
        <v>16</v>
      </c>
      <c r="B3" s="17" t="s">
        <v>17</v>
      </c>
      <c r="C3" s="17" t="s">
        <v>18</v>
      </c>
      <c r="D3" s="17" t="s">
        <v>1</v>
      </c>
      <c r="E3" s="7"/>
      <c r="F3" s="18">
        <v>2.0</v>
      </c>
      <c r="G3" s="10">
        <v>540.0</v>
      </c>
      <c r="H3" s="10">
        <f t="shared" ref="H3:H101" si="6">IFS(
  AND(G3&gt;=1, G3&lt;=100), 1,
  AND(G3&gt;=101, G3&lt;=200), 2,
  AND(G3&gt;=201, G3&lt;=300), 3,
  AND(G3&gt;=301, G3&lt;=400), 4,
  AND(G3&gt;=401, G3&lt;=500), 5,
  AND(G3&gt;=501, G3&lt;=600), 6,
  AND(G3&gt;=601, G3&lt;=700), 7,
  AND(G3&gt;=701, G3&lt;=800), 8,
  AND(G3&gt;=801, G3&lt;=900), 9,
  OR(G3&gt;=901, G3=0), 10
)
</f>
        <v>6</v>
      </c>
      <c r="I3" s="18">
        <v>2.0</v>
      </c>
      <c r="J3" s="10">
        <v>600.0</v>
      </c>
      <c r="K3" s="10">
        <f t="shared" si="1"/>
        <v>5</v>
      </c>
      <c r="L3" s="11"/>
      <c r="M3" s="19">
        <v>2.0</v>
      </c>
      <c r="N3" s="12">
        <f t="shared" ref="N3:N101" si="7">H3</f>
        <v>6</v>
      </c>
      <c r="O3" s="12">
        <f t="shared" ref="O3:O101" si="8">O2+N3</f>
        <v>6</v>
      </c>
      <c r="P3" s="14">
        <f t="shared" si="2"/>
        <v>5</v>
      </c>
      <c r="Q3" s="15">
        <f t="shared" ref="Q3:Q101" si="9">MAX(S2,O3)</f>
        <v>6</v>
      </c>
      <c r="R3" s="14">
        <f t="shared" ref="R3:R101" si="10">Q3-O3</f>
        <v>0</v>
      </c>
      <c r="S3" s="15">
        <f t="shared" si="3"/>
        <v>11</v>
      </c>
      <c r="T3" s="15">
        <f t="shared" si="4"/>
        <v>5</v>
      </c>
      <c r="U3" s="15">
        <f t="shared" ref="U3:U101" si="11">Q3-S2</f>
        <v>5</v>
      </c>
      <c r="V3" s="16">
        <f t="shared" si="5"/>
        <v>0</v>
      </c>
    </row>
    <row r="4">
      <c r="A4" s="9">
        <v>1.0</v>
      </c>
      <c r="B4" s="20" t="s">
        <v>19</v>
      </c>
      <c r="C4" s="20" t="s">
        <v>19</v>
      </c>
      <c r="D4" s="9" t="s">
        <v>20</v>
      </c>
      <c r="E4" s="7"/>
      <c r="F4" s="8">
        <v>3.0</v>
      </c>
      <c r="G4" s="10">
        <v>806.0</v>
      </c>
      <c r="H4" s="10">
        <f t="shared" si="6"/>
        <v>9</v>
      </c>
      <c r="I4" s="8">
        <v>3.0</v>
      </c>
      <c r="J4" s="10">
        <v>264.0</v>
      </c>
      <c r="K4" s="10">
        <f t="shared" si="1"/>
        <v>3</v>
      </c>
      <c r="L4" s="11"/>
      <c r="M4" s="12">
        <v>3.0</v>
      </c>
      <c r="N4" s="12">
        <f t="shared" si="7"/>
        <v>9</v>
      </c>
      <c r="O4" s="12">
        <f t="shared" si="8"/>
        <v>15</v>
      </c>
      <c r="P4" s="14">
        <f t="shared" si="2"/>
        <v>3</v>
      </c>
      <c r="Q4" s="15">
        <f t="shared" si="9"/>
        <v>15</v>
      </c>
      <c r="R4" s="14">
        <f t="shared" si="10"/>
        <v>0</v>
      </c>
      <c r="S4" s="15">
        <f t="shared" si="3"/>
        <v>18</v>
      </c>
      <c r="T4" s="15">
        <f t="shared" si="4"/>
        <v>3</v>
      </c>
      <c r="U4" s="15">
        <f t="shared" si="11"/>
        <v>4</v>
      </c>
      <c r="V4" s="16">
        <f t="shared" si="5"/>
        <v>0</v>
      </c>
    </row>
    <row r="5">
      <c r="A5" s="9">
        <v>2.0</v>
      </c>
      <c r="B5" s="20" t="s">
        <v>19</v>
      </c>
      <c r="C5" s="21">
        <f t="shared" ref="C5:C13" si="12">B4+C4</f>
        <v>0.2</v>
      </c>
      <c r="D5" s="9" t="s">
        <v>21</v>
      </c>
      <c r="E5" s="7"/>
      <c r="F5" s="8">
        <v>4.0</v>
      </c>
      <c r="G5" s="10">
        <v>762.0</v>
      </c>
      <c r="H5" s="10">
        <f t="shared" si="6"/>
        <v>8</v>
      </c>
      <c r="I5" s="8">
        <v>4.0</v>
      </c>
      <c r="J5" s="10">
        <v>664.0</v>
      </c>
      <c r="K5" s="10">
        <f t="shared" si="1"/>
        <v>6</v>
      </c>
      <c r="L5" s="11"/>
      <c r="M5" s="12">
        <v>4.0</v>
      </c>
      <c r="N5" s="12">
        <f t="shared" si="7"/>
        <v>8</v>
      </c>
      <c r="O5" s="12">
        <f t="shared" si="8"/>
        <v>23</v>
      </c>
      <c r="P5" s="14">
        <f t="shared" si="2"/>
        <v>6</v>
      </c>
      <c r="Q5" s="15">
        <f t="shared" si="9"/>
        <v>23</v>
      </c>
      <c r="R5" s="14">
        <f t="shared" si="10"/>
        <v>0</v>
      </c>
      <c r="S5" s="15">
        <f t="shared" si="3"/>
        <v>29</v>
      </c>
      <c r="T5" s="15">
        <f t="shared" si="4"/>
        <v>6</v>
      </c>
      <c r="U5" s="15">
        <f t="shared" si="11"/>
        <v>5</v>
      </c>
      <c r="V5" s="16">
        <f t="shared" si="5"/>
        <v>0</v>
      </c>
    </row>
    <row r="6">
      <c r="A6" s="9">
        <v>3.0</v>
      </c>
      <c r="B6" s="20" t="s">
        <v>19</v>
      </c>
      <c r="C6" s="21">
        <f t="shared" si="12"/>
        <v>0.3</v>
      </c>
      <c r="D6" s="9" t="s">
        <v>22</v>
      </c>
      <c r="E6" s="7"/>
      <c r="F6" s="8">
        <v>5.0</v>
      </c>
      <c r="G6" s="10">
        <v>874.0</v>
      </c>
      <c r="H6" s="10">
        <f t="shared" si="6"/>
        <v>9</v>
      </c>
      <c r="I6" s="8">
        <v>5.0</v>
      </c>
      <c r="J6" s="10">
        <v>101.0</v>
      </c>
      <c r="K6" s="10">
        <f t="shared" si="1"/>
        <v>1</v>
      </c>
      <c r="L6" s="11"/>
      <c r="M6" s="12">
        <v>5.0</v>
      </c>
      <c r="N6" s="12">
        <f t="shared" si="7"/>
        <v>9</v>
      </c>
      <c r="O6" s="12">
        <f t="shared" si="8"/>
        <v>32</v>
      </c>
      <c r="P6" s="14">
        <f t="shared" si="2"/>
        <v>1</v>
      </c>
      <c r="Q6" s="15">
        <f t="shared" si="9"/>
        <v>32</v>
      </c>
      <c r="R6" s="14">
        <f t="shared" si="10"/>
        <v>0</v>
      </c>
      <c r="S6" s="15">
        <f t="shared" si="3"/>
        <v>33</v>
      </c>
      <c r="T6" s="15">
        <f t="shared" si="4"/>
        <v>1</v>
      </c>
      <c r="U6" s="15">
        <f t="shared" si="11"/>
        <v>3</v>
      </c>
      <c r="V6" s="16">
        <f t="shared" si="5"/>
        <v>0</v>
      </c>
    </row>
    <row r="7">
      <c r="A7" s="9">
        <v>4.0</v>
      </c>
      <c r="B7" s="20" t="s">
        <v>19</v>
      </c>
      <c r="C7" s="21">
        <f t="shared" si="12"/>
        <v>0.4</v>
      </c>
      <c r="D7" s="9" t="s">
        <v>23</v>
      </c>
      <c r="E7" s="7"/>
      <c r="F7" s="8">
        <v>6.0</v>
      </c>
      <c r="G7" s="10">
        <v>40.0</v>
      </c>
      <c r="H7" s="10">
        <f t="shared" si="6"/>
        <v>1</v>
      </c>
      <c r="I7" s="8">
        <v>6.0</v>
      </c>
      <c r="J7" s="10">
        <v>390.0</v>
      </c>
      <c r="K7" s="10">
        <f t="shared" si="1"/>
        <v>4</v>
      </c>
      <c r="L7" s="11"/>
      <c r="M7" s="12">
        <v>6.0</v>
      </c>
      <c r="N7" s="12">
        <f t="shared" si="7"/>
        <v>1</v>
      </c>
      <c r="O7" s="12">
        <f t="shared" si="8"/>
        <v>33</v>
      </c>
      <c r="P7" s="14">
        <f t="shared" si="2"/>
        <v>4</v>
      </c>
      <c r="Q7" s="15">
        <f t="shared" si="9"/>
        <v>33</v>
      </c>
      <c r="R7" s="14">
        <f t="shared" si="10"/>
        <v>0</v>
      </c>
      <c r="S7" s="15">
        <f t="shared" si="3"/>
        <v>37</v>
      </c>
      <c r="T7" s="15">
        <f t="shared" si="4"/>
        <v>4</v>
      </c>
      <c r="U7" s="15">
        <f t="shared" si="11"/>
        <v>0</v>
      </c>
      <c r="V7" s="16">
        <f t="shared" si="5"/>
        <v>0</v>
      </c>
    </row>
    <row r="8">
      <c r="A8" s="9">
        <v>5.0</v>
      </c>
      <c r="B8" s="20" t="s">
        <v>19</v>
      </c>
      <c r="C8" s="21">
        <f t="shared" si="12"/>
        <v>0.5</v>
      </c>
      <c r="D8" s="9" t="s">
        <v>24</v>
      </c>
      <c r="E8" s="7"/>
      <c r="F8" s="8">
        <v>7.0</v>
      </c>
      <c r="G8" s="10">
        <v>837.0</v>
      </c>
      <c r="H8" s="10">
        <f t="shared" si="6"/>
        <v>9</v>
      </c>
      <c r="I8" s="8">
        <v>7.0</v>
      </c>
      <c r="J8" s="10">
        <v>790.0</v>
      </c>
      <c r="K8" s="10">
        <f t="shared" si="1"/>
        <v>7</v>
      </c>
      <c r="L8" s="11"/>
      <c r="M8" s="12">
        <v>7.0</v>
      </c>
      <c r="N8" s="12">
        <f t="shared" si="7"/>
        <v>9</v>
      </c>
      <c r="O8" s="12">
        <f t="shared" si="8"/>
        <v>42</v>
      </c>
      <c r="P8" s="14">
        <f t="shared" si="2"/>
        <v>7</v>
      </c>
      <c r="Q8" s="15">
        <f t="shared" si="9"/>
        <v>42</v>
      </c>
      <c r="R8" s="14">
        <f t="shared" si="10"/>
        <v>0</v>
      </c>
      <c r="S8" s="15">
        <f t="shared" si="3"/>
        <v>49</v>
      </c>
      <c r="T8" s="15">
        <f t="shared" si="4"/>
        <v>7</v>
      </c>
      <c r="U8" s="15">
        <f t="shared" si="11"/>
        <v>5</v>
      </c>
      <c r="V8" s="16">
        <f t="shared" si="5"/>
        <v>0</v>
      </c>
    </row>
    <row r="9">
      <c r="A9" s="9">
        <v>6.0</v>
      </c>
      <c r="B9" s="20" t="s">
        <v>19</v>
      </c>
      <c r="C9" s="21">
        <f t="shared" si="12"/>
        <v>0.6</v>
      </c>
      <c r="D9" s="9" t="s">
        <v>25</v>
      </c>
      <c r="E9" s="7"/>
      <c r="F9" s="8">
        <v>8.0</v>
      </c>
      <c r="G9" s="10">
        <v>360.0</v>
      </c>
      <c r="H9" s="10">
        <f t="shared" si="6"/>
        <v>4</v>
      </c>
      <c r="I9" s="8">
        <v>8.0</v>
      </c>
      <c r="J9" s="10">
        <v>847.0</v>
      </c>
      <c r="K9" s="10">
        <f t="shared" si="1"/>
        <v>7</v>
      </c>
      <c r="L9" s="11"/>
      <c r="M9" s="12">
        <v>8.0</v>
      </c>
      <c r="N9" s="12">
        <f t="shared" si="7"/>
        <v>4</v>
      </c>
      <c r="O9" s="12">
        <f t="shared" si="8"/>
        <v>46</v>
      </c>
      <c r="P9" s="14">
        <f t="shared" si="2"/>
        <v>7</v>
      </c>
      <c r="Q9" s="15">
        <f t="shared" si="9"/>
        <v>49</v>
      </c>
      <c r="R9" s="14">
        <f t="shared" si="10"/>
        <v>3</v>
      </c>
      <c r="S9" s="15">
        <f t="shared" si="3"/>
        <v>56</v>
      </c>
      <c r="T9" s="15">
        <f t="shared" si="4"/>
        <v>10</v>
      </c>
      <c r="U9" s="15">
        <f t="shared" si="11"/>
        <v>0</v>
      </c>
      <c r="V9" s="16">
        <f t="shared" si="5"/>
        <v>1</v>
      </c>
    </row>
    <row r="10">
      <c r="A10" s="9">
        <v>7.0</v>
      </c>
      <c r="B10" s="20" t="s">
        <v>19</v>
      </c>
      <c r="C10" s="21">
        <f t="shared" si="12"/>
        <v>0.7</v>
      </c>
      <c r="D10" s="9" t="s">
        <v>26</v>
      </c>
      <c r="E10" s="7"/>
      <c r="F10" s="8">
        <v>9.0</v>
      </c>
      <c r="G10" s="10">
        <v>697.0</v>
      </c>
      <c r="H10" s="10">
        <f t="shared" si="6"/>
        <v>7</v>
      </c>
      <c r="I10" s="8">
        <v>9.0</v>
      </c>
      <c r="J10" s="10">
        <v>691.0</v>
      </c>
      <c r="K10" s="10">
        <f t="shared" si="1"/>
        <v>6</v>
      </c>
      <c r="L10" s="11"/>
      <c r="M10" s="12">
        <v>9.0</v>
      </c>
      <c r="N10" s="12">
        <f t="shared" si="7"/>
        <v>7</v>
      </c>
      <c r="O10" s="12">
        <f t="shared" si="8"/>
        <v>53</v>
      </c>
      <c r="P10" s="14">
        <f t="shared" si="2"/>
        <v>6</v>
      </c>
      <c r="Q10" s="15">
        <f t="shared" si="9"/>
        <v>56</v>
      </c>
      <c r="R10" s="14">
        <f t="shared" si="10"/>
        <v>3</v>
      </c>
      <c r="S10" s="15">
        <f t="shared" si="3"/>
        <v>62</v>
      </c>
      <c r="T10" s="15">
        <f t="shared" si="4"/>
        <v>9</v>
      </c>
      <c r="U10" s="15">
        <f t="shared" si="11"/>
        <v>0</v>
      </c>
      <c r="V10" s="16">
        <f t="shared" si="5"/>
        <v>1</v>
      </c>
      <c r="W10" s="22" t="s">
        <v>27</v>
      </c>
      <c r="X10" s="23">
        <f>R102/M101 </f>
        <v>4.78</v>
      </c>
    </row>
    <row r="11">
      <c r="A11" s="9">
        <v>8.0</v>
      </c>
      <c r="B11" s="20" t="s">
        <v>19</v>
      </c>
      <c r="C11" s="21">
        <f t="shared" si="12"/>
        <v>0.8</v>
      </c>
      <c r="D11" s="9" t="s">
        <v>28</v>
      </c>
      <c r="E11" s="7"/>
      <c r="F11" s="8">
        <v>10.0</v>
      </c>
      <c r="G11" s="10">
        <v>47.0</v>
      </c>
      <c r="H11" s="10">
        <f t="shared" si="6"/>
        <v>1</v>
      </c>
      <c r="I11" s="8">
        <v>10.0</v>
      </c>
      <c r="J11" s="10">
        <v>788.0</v>
      </c>
      <c r="K11" s="10">
        <f t="shared" si="1"/>
        <v>7</v>
      </c>
      <c r="L11" s="11"/>
      <c r="M11" s="12">
        <v>10.0</v>
      </c>
      <c r="N11" s="12">
        <f t="shared" si="7"/>
        <v>1</v>
      </c>
      <c r="O11" s="12">
        <f t="shared" si="8"/>
        <v>54</v>
      </c>
      <c r="P11" s="14">
        <f t="shared" si="2"/>
        <v>7</v>
      </c>
      <c r="Q11" s="15">
        <f t="shared" si="9"/>
        <v>62</v>
      </c>
      <c r="R11" s="14">
        <f t="shared" si="10"/>
        <v>8</v>
      </c>
      <c r="S11" s="15">
        <f t="shared" si="3"/>
        <v>69</v>
      </c>
      <c r="T11" s="15">
        <f t="shared" si="4"/>
        <v>15</v>
      </c>
      <c r="U11" s="15">
        <f t="shared" si="11"/>
        <v>0</v>
      </c>
      <c r="V11" s="16">
        <f t="shared" si="5"/>
        <v>1</v>
      </c>
      <c r="W11" s="22" t="s">
        <v>29</v>
      </c>
      <c r="X11" s="23">
        <f>V102/M101 </f>
        <v>0.71</v>
      </c>
    </row>
    <row r="12">
      <c r="A12" s="9">
        <v>9.0</v>
      </c>
      <c r="B12" s="20" t="s">
        <v>19</v>
      </c>
      <c r="C12" s="21">
        <f t="shared" si="12"/>
        <v>0.9</v>
      </c>
      <c r="D12" s="9" t="s">
        <v>30</v>
      </c>
      <c r="E12" s="7"/>
      <c r="F12" s="8">
        <v>11.0</v>
      </c>
      <c r="G12" s="10">
        <v>471.0</v>
      </c>
      <c r="H12" s="10">
        <f t="shared" si="6"/>
        <v>5</v>
      </c>
      <c r="I12" s="8">
        <v>11.0</v>
      </c>
      <c r="J12" s="10">
        <v>644.0</v>
      </c>
      <c r="K12" s="10">
        <f t="shared" si="1"/>
        <v>6</v>
      </c>
      <c r="L12" s="11"/>
      <c r="M12" s="12">
        <v>11.0</v>
      </c>
      <c r="N12" s="12">
        <f t="shared" si="7"/>
        <v>5</v>
      </c>
      <c r="O12" s="12">
        <f t="shared" si="8"/>
        <v>59</v>
      </c>
      <c r="P12" s="14">
        <f t="shared" si="2"/>
        <v>6</v>
      </c>
      <c r="Q12" s="15">
        <f t="shared" si="9"/>
        <v>69</v>
      </c>
      <c r="R12" s="14">
        <f t="shared" si="10"/>
        <v>10</v>
      </c>
      <c r="S12" s="15">
        <f t="shared" si="3"/>
        <v>75</v>
      </c>
      <c r="T12" s="15">
        <f t="shared" si="4"/>
        <v>16</v>
      </c>
      <c r="U12" s="15">
        <f t="shared" si="11"/>
        <v>0</v>
      </c>
      <c r="V12" s="16">
        <f t="shared" si="5"/>
        <v>1</v>
      </c>
      <c r="W12" s="22" t="s">
        <v>31</v>
      </c>
      <c r="X12" s="24">
        <f>U102/S101 </f>
        <v>0.1405109489</v>
      </c>
    </row>
    <row r="13">
      <c r="A13" s="9">
        <v>10.0</v>
      </c>
      <c r="B13" s="20" t="s">
        <v>19</v>
      </c>
      <c r="C13" s="21">
        <f t="shared" si="12"/>
        <v>1</v>
      </c>
      <c r="D13" s="9" t="s">
        <v>32</v>
      </c>
      <c r="E13" s="7"/>
      <c r="F13" s="8">
        <v>12.0</v>
      </c>
      <c r="G13" s="10">
        <v>14.0</v>
      </c>
      <c r="H13" s="10">
        <f t="shared" si="6"/>
        <v>1</v>
      </c>
      <c r="I13" s="8">
        <v>12.0</v>
      </c>
      <c r="J13" s="10">
        <v>82.0</v>
      </c>
      <c r="K13" s="10">
        <f t="shared" si="1"/>
        <v>1</v>
      </c>
      <c r="L13" s="11"/>
      <c r="M13" s="12">
        <v>12.0</v>
      </c>
      <c r="N13" s="12">
        <f t="shared" si="7"/>
        <v>1</v>
      </c>
      <c r="O13" s="12">
        <f t="shared" si="8"/>
        <v>60</v>
      </c>
      <c r="P13" s="14">
        <f t="shared" si="2"/>
        <v>1</v>
      </c>
      <c r="Q13" s="15">
        <f t="shared" si="9"/>
        <v>75</v>
      </c>
      <c r="R13" s="14">
        <f t="shared" si="10"/>
        <v>15</v>
      </c>
      <c r="S13" s="15">
        <f t="shared" si="3"/>
        <v>76</v>
      </c>
      <c r="T13" s="15">
        <f t="shared" si="4"/>
        <v>16</v>
      </c>
      <c r="U13" s="15">
        <f t="shared" si="11"/>
        <v>0</v>
      </c>
      <c r="V13" s="16">
        <f t="shared" si="5"/>
        <v>1</v>
      </c>
      <c r="W13" s="22" t="s">
        <v>33</v>
      </c>
      <c r="X13" s="24">
        <f>1-X12</f>
        <v>0.8594890511</v>
      </c>
    </row>
    <row r="14">
      <c r="A14" s="25" t="s">
        <v>34</v>
      </c>
      <c r="E14" s="7"/>
      <c r="F14" s="8">
        <v>13.0</v>
      </c>
      <c r="G14" s="10">
        <v>535.0</v>
      </c>
      <c r="H14" s="10">
        <f t="shared" si="6"/>
        <v>6</v>
      </c>
      <c r="I14" s="8">
        <v>13.0</v>
      </c>
      <c r="J14" s="10">
        <v>986.0</v>
      </c>
      <c r="K14" s="10">
        <f t="shared" si="1"/>
        <v>8</v>
      </c>
      <c r="L14" s="11"/>
      <c r="M14" s="12">
        <v>13.0</v>
      </c>
      <c r="N14" s="12">
        <f t="shared" si="7"/>
        <v>6</v>
      </c>
      <c r="O14" s="12">
        <f t="shared" si="8"/>
        <v>66</v>
      </c>
      <c r="P14" s="14">
        <f t="shared" si="2"/>
        <v>8</v>
      </c>
      <c r="Q14" s="15">
        <f t="shared" si="9"/>
        <v>76</v>
      </c>
      <c r="R14" s="14">
        <f t="shared" si="10"/>
        <v>10</v>
      </c>
      <c r="S14" s="15">
        <f t="shared" si="3"/>
        <v>84</v>
      </c>
      <c r="T14" s="15">
        <f t="shared" si="4"/>
        <v>18</v>
      </c>
      <c r="U14" s="15">
        <f t="shared" si="11"/>
        <v>0</v>
      </c>
      <c r="V14" s="16">
        <f t="shared" si="5"/>
        <v>1</v>
      </c>
      <c r="W14" s="26" t="s">
        <v>35</v>
      </c>
      <c r="X14" s="23">
        <f>P102/M101 </f>
        <v>4.71</v>
      </c>
    </row>
    <row r="15">
      <c r="A15" s="17" t="s">
        <v>16</v>
      </c>
      <c r="B15" s="17" t="s">
        <v>17</v>
      </c>
      <c r="C15" s="17" t="s">
        <v>18</v>
      </c>
      <c r="D15" s="17" t="s">
        <v>1</v>
      </c>
      <c r="E15" s="7"/>
      <c r="F15" s="8">
        <v>14.0</v>
      </c>
      <c r="G15" s="10">
        <v>78.0</v>
      </c>
      <c r="H15" s="10">
        <f t="shared" si="6"/>
        <v>1</v>
      </c>
      <c r="I15" s="8">
        <v>14.0</v>
      </c>
      <c r="J15" s="10">
        <v>863.0</v>
      </c>
      <c r="K15" s="10">
        <f t="shared" si="1"/>
        <v>7</v>
      </c>
      <c r="L15" s="11"/>
      <c r="M15" s="12">
        <v>14.0</v>
      </c>
      <c r="N15" s="12">
        <f t="shared" si="7"/>
        <v>1</v>
      </c>
      <c r="O15" s="12">
        <f t="shared" si="8"/>
        <v>67</v>
      </c>
      <c r="P15" s="14">
        <f t="shared" si="2"/>
        <v>7</v>
      </c>
      <c r="Q15" s="15">
        <f t="shared" si="9"/>
        <v>84</v>
      </c>
      <c r="R15" s="14">
        <f t="shared" si="10"/>
        <v>17</v>
      </c>
      <c r="S15" s="15">
        <f t="shared" si="3"/>
        <v>91</v>
      </c>
      <c r="T15" s="15">
        <f t="shared" si="4"/>
        <v>24</v>
      </c>
      <c r="U15" s="15">
        <f t="shared" si="11"/>
        <v>0</v>
      </c>
      <c r="V15" s="16">
        <f t="shared" si="5"/>
        <v>1</v>
      </c>
      <c r="W15" s="22" t="s">
        <v>36</v>
      </c>
      <c r="X15" s="23">
        <f>B16*SUM(A16:A23)</f>
        <v>4.5</v>
      </c>
    </row>
    <row r="16">
      <c r="A16" s="27">
        <v>1.0</v>
      </c>
      <c r="B16" s="9">
        <v>0.125</v>
      </c>
      <c r="C16" s="9">
        <v>0.125</v>
      </c>
      <c r="D16" s="9" t="s">
        <v>37</v>
      </c>
      <c r="E16" s="7"/>
      <c r="F16" s="8">
        <v>15.0</v>
      </c>
      <c r="G16" s="10">
        <v>597.0</v>
      </c>
      <c r="H16" s="10">
        <f t="shared" si="6"/>
        <v>6</v>
      </c>
      <c r="I16" s="8">
        <v>15.0</v>
      </c>
      <c r="J16" s="10">
        <v>804.0</v>
      </c>
      <c r="K16" s="10">
        <f t="shared" si="1"/>
        <v>7</v>
      </c>
      <c r="L16" s="11"/>
      <c r="M16" s="12">
        <v>15.0</v>
      </c>
      <c r="N16" s="12">
        <f t="shared" si="7"/>
        <v>6</v>
      </c>
      <c r="O16" s="12">
        <f t="shared" si="8"/>
        <v>73</v>
      </c>
      <c r="P16" s="14">
        <f t="shared" si="2"/>
        <v>7</v>
      </c>
      <c r="Q16" s="15">
        <f t="shared" si="9"/>
        <v>91</v>
      </c>
      <c r="R16" s="14">
        <f t="shared" si="10"/>
        <v>18</v>
      </c>
      <c r="S16" s="15">
        <f t="shared" si="3"/>
        <v>98</v>
      </c>
      <c r="T16" s="15">
        <f t="shared" si="4"/>
        <v>25</v>
      </c>
      <c r="U16" s="15">
        <f t="shared" si="11"/>
        <v>0</v>
      </c>
      <c r="V16" s="16">
        <f t="shared" si="5"/>
        <v>1</v>
      </c>
      <c r="W16" s="26" t="s">
        <v>38</v>
      </c>
      <c r="X16" s="24">
        <f>N102/(M101-1)</f>
        <v>5.454545455</v>
      </c>
    </row>
    <row r="17">
      <c r="A17" s="9">
        <v>2.0</v>
      </c>
      <c r="B17" s="9">
        <v>0.125</v>
      </c>
      <c r="C17" s="28">
        <f t="shared" ref="C17:C23" si="13">B16+C16</f>
        <v>0.25</v>
      </c>
      <c r="D17" s="9" t="s">
        <v>39</v>
      </c>
      <c r="E17" s="7"/>
      <c r="F17" s="8">
        <v>16.0</v>
      </c>
      <c r="G17" s="10">
        <v>138.0</v>
      </c>
      <c r="H17" s="10">
        <f t="shared" si="6"/>
        <v>2</v>
      </c>
      <c r="I17" s="8">
        <v>16.0</v>
      </c>
      <c r="J17" s="10">
        <v>935.0</v>
      </c>
      <c r="K17" s="10">
        <f t="shared" si="1"/>
        <v>8</v>
      </c>
      <c r="L17" s="11"/>
      <c r="M17" s="12">
        <v>16.0</v>
      </c>
      <c r="N17" s="12">
        <f t="shared" si="7"/>
        <v>2</v>
      </c>
      <c r="O17" s="12">
        <f t="shared" si="8"/>
        <v>75</v>
      </c>
      <c r="P17" s="14">
        <f t="shared" si="2"/>
        <v>8</v>
      </c>
      <c r="Q17" s="15">
        <f t="shared" si="9"/>
        <v>98</v>
      </c>
      <c r="R17" s="14">
        <f t="shared" si="10"/>
        <v>23</v>
      </c>
      <c r="S17" s="15">
        <f t="shared" si="3"/>
        <v>106</v>
      </c>
      <c r="T17" s="15">
        <f t="shared" si="4"/>
        <v>31</v>
      </c>
      <c r="U17" s="15">
        <f t="shared" si="11"/>
        <v>0</v>
      </c>
      <c r="V17" s="16">
        <f t="shared" si="5"/>
        <v>1</v>
      </c>
      <c r="W17" s="22" t="s">
        <v>40</v>
      </c>
      <c r="X17" s="23">
        <f>SUM(A4:A13)*B4</f>
        <v>5.5</v>
      </c>
    </row>
    <row r="18">
      <c r="A18" s="9">
        <v>3.0</v>
      </c>
      <c r="B18" s="9">
        <v>0.125</v>
      </c>
      <c r="C18" s="28">
        <f t="shared" si="13"/>
        <v>0.375</v>
      </c>
      <c r="D18" s="9" t="s">
        <v>41</v>
      </c>
      <c r="E18" s="7"/>
      <c r="F18" s="8">
        <v>17.0</v>
      </c>
      <c r="G18" s="10">
        <v>560.0</v>
      </c>
      <c r="H18" s="10">
        <f t="shared" si="6"/>
        <v>6</v>
      </c>
      <c r="I18" s="8">
        <v>17.0</v>
      </c>
      <c r="J18" s="10">
        <v>359.0</v>
      </c>
      <c r="K18" s="10">
        <f t="shared" si="1"/>
        <v>3</v>
      </c>
      <c r="L18" s="11"/>
      <c r="M18" s="12">
        <v>17.0</v>
      </c>
      <c r="N18" s="12">
        <f t="shared" si="7"/>
        <v>6</v>
      </c>
      <c r="O18" s="12">
        <f t="shared" si="8"/>
        <v>81</v>
      </c>
      <c r="P18" s="14">
        <f t="shared" si="2"/>
        <v>3</v>
      </c>
      <c r="Q18" s="15">
        <f t="shared" si="9"/>
        <v>106</v>
      </c>
      <c r="R18" s="14">
        <f t="shared" si="10"/>
        <v>25</v>
      </c>
      <c r="S18" s="15">
        <f t="shared" si="3"/>
        <v>109</v>
      </c>
      <c r="T18" s="15">
        <f t="shared" si="4"/>
        <v>28</v>
      </c>
      <c r="U18" s="15">
        <f t="shared" si="11"/>
        <v>0</v>
      </c>
      <c r="V18" s="16">
        <f t="shared" si="5"/>
        <v>1</v>
      </c>
    </row>
    <row r="19">
      <c r="A19" s="9">
        <v>4.0</v>
      </c>
      <c r="B19" s="9">
        <v>0.125</v>
      </c>
      <c r="C19" s="28">
        <f t="shared" si="13"/>
        <v>0.5</v>
      </c>
      <c r="D19" s="9" t="s">
        <v>42</v>
      </c>
      <c r="E19" s="7"/>
      <c r="F19" s="8">
        <v>18.0</v>
      </c>
      <c r="G19" s="10">
        <v>695.0</v>
      </c>
      <c r="H19" s="10">
        <f t="shared" si="6"/>
        <v>7</v>
      </c>
      <c r="I19" s="8">
        <v>18.0</v>
      </c>
      <c r="J19" s="10">
        <v>155.0</v>
      </c>
      <c r="K19" s="10">
        <f t="shared" si="1"/>
        <v>2</v>
      </c>
      <c r="L19" s="11"/>
      <c r="M19" s="12">
        <v>18.0</v>
      </c>
      <c r="N19" s="12">
        <f t="shared" si="7"/>
        <v>7</v>
      </c>
      <c r="O19" s="12">
        <f t="shared" si="8"/>
        <v>88</v>
      </c>
      <c r="P19" s="14">
        <f t="shared" si="2"/>
        <v>2</v>
      </c>
      <c r="Q19" s="15">
        <f t="shared" si="9"/>
        <v>109</v>
      </c>
      <c r="R19" s="14">
        <f t="shared" si="10"/>
        <v>21</v>
      </c>
      <c r="S19" s="15">
        <f t="shared" si="3"/>
        <v>111</v>
      </c>
      <c r="T19" s="15">
        <f t="shared" si="4"/>
        <v>23</v>
      </c>
      <c r="U19" s="15">
        <f t="shared" si="11"/>
        <v>0</v>
      </c>
      <c r="V19" s="16">
        <f t="shared" si="5"/>
        <v>1</v>
      </c>
    </row>
    <row r="20">
      <c r="A20" s="9">
        <v>5.0</v>
      </c>
      <c r="B20" s="9">
        <v>0.125</v>
      </c>
      <c r="C20" s="28">
        <f t="shared" si="13"/>
        <v>0.625</v>
      </c>
      <c r="D20" s="9" t="s">
        <v>43</v>
      </c>
      <c r="E20" s="7"/>
      <c r="F20" s="8">
        <v>19.0</v>
      </c>
      <c r="G20" s="10">
        <v>370.0</v>
      </c>
      <c r="H20" s="10">
        <f t="shared" si="6"/>
        <v>4</v>
      </c>
      <c r="I20" s="8">
        <v>19.0</v>
      </c>
      <c r="J20" s="10">
        <v>62.0</v>
      </c>
      <c r="K20" s="10">
        <f t="shared" si="1"/>
        <v>1</v>
      </c>
      <c r="L20" s="11"/>
      <c r="M20" s="12">
        <v>19.0</v>
      </c>
      <c r="N20" s="12">
        <f t="shared" si="7"/>
        <v>4</v>
      </c>
      <c r="O20" s="12">
        <f t="shared" si="8"/>
        <v>92</v>
      </c>
      <c r="P20" s="14">
        <f t="shared" si="2"/>
        <v>1</v>
      </c>
      <c r="Q20" s="15">
        <f t="shared" si="9"/>
        <v>111</v>
      </c>
      <c r="R20" s="14">
        <f t="shared" si="10"/>
        <v>19</v>
      </c>
      <c r="S20" s="15">
        <f t="shared" si="3"/>
        <v>112</v>
      </c>
      <c r="T20" s="15">
        <f t="shared" si="4"/>
        <v>20</v>
      </c>
      <c r="U20" s="15">
        <f t="shared" si="11"/>
        <v>0</v>
      </c>
      <c r="V20" s="16">
        <f t="shared" si="5"/>
        <v>1</v>
      </c>
    </row>
    <row r="21">
      <c r="A21" s="9">
        <v>6.0</v>
      </c>
      <c r="B21" s="9">
        <v>0.125</v>
      </c>
      <c r="C21" s="28">
        <f t="shared" si="13"/>
        <v>0.75</v>
      </c>
      <c r="D21" s="9" t="s">
        <v>44</v>
      </c>
      <c r="E21" s="7"/>
      <c r="F21" s="8">
        <v>20.0</v>
      </c>
      <c r="G21" s="10">
        <v>727.0</v>
      </c>
      <c r="H21" s="10">
        <f t="shared" si="6"/>
        <v>8</v>
      </c>
      <c r="I21" s="8">
        <v>20.0</v>
      </c>
      <c r="J21" s="10">
        <v>86.0</v>
      </c>
      <c r="K21" s="10">
        <f t="shared" si="1"/>
        <v>1</v>
      </c>
      <c r="L21" s="11"/>
      <c r="M21" s="12">
        <v>20.0</v>
      </c>
      <c r="N21" s="12">
        <f t="shared" si="7"/>
        <v>8</v>
      </c>
      <c r="O21" s="12">
        <f t="shared" si="8"/>
        <v>100</v>
      </c>
      <c r="P21" s="14">
        <f t="shared" si="2"/>
        <v>1</v>
      </c>
      <c r="Q21" s="15">
        <f t="shared" si="9"/>
        <v>112</v>
      </c>
      <c r="R21" s="14">
        <f t="shared" si="10"/>
        <v>12</v>
      </c>
      <c r="S21" s="15">
        <f t="shared" si="3"/>
        <v>113</v>
      </c>
      <c r="T21" s="15">
        <f t="shared" si="4"/>
        <v>13</v>
      </c>
      <c r="U21" s="15">
        <f t="shared" si="11"/>
        <v>0</v>
      </c>
      <c r="V21" s="16">
        <f t="shared" si="5"/>
        <v>1</v>
      </c>
    </row>
    <row r="22">
      <c r="A22" s="9">
        <v>7.0</v>
      </c>
      <c r="B22" s="9">
        <v>0.125</v>
      </c>
      <c r="C22" s="28">
        <f t="shared" si="13"/>
        <v>0.875</v>
      </c>
      <c r="D22" s="9" t="s">
        <v>45</v>
      </c>
      <c r="E22" s="7"/>
      <c r="F22" s="8">
        <v>21.0</v>
      </c>
      <c r="G22" s="10">
        <v>561.0</v>
      </c>
      <c r="H22" s="10">
        <f t="shared" si="6"/>
        <v>6</v>
      </c>
      <c r="I22" s="8">
        <v>21.0</v>
      </c>
      <c r="J22" s="10">
        <v>519.0</v>
      </c>
      <c r="K22" s="10">
        <f t="shared" si="1"/>
        <v>5</v>
      </c>
      <c r="L22" s="11"/>
      <c r="M22" s="12">
        <v>21.0</v>
      </c>
      <c r="N22" s="12">
        <f t="shared" si="7"/>
        <v>6</v>
      </c>
      <c r="O22" s="12">
        <f t="shared" si="8"/>
        <v>106</v>
      </c>
      <c r="P22" s="14">
        <f t="shared" si="2"/>
        <v>5</v>
      </c>
      <c r="Q22" s="15">
        <f t="shared" si="9"/>
        <v>113</v>
      </c>
      <c r="R22" s="14">
        <f t="shared" si="10"/>
        <v>7</v>
      </c>
      <c r="S22" s="15">
        <f t="shared" si="3"/>
        <v>118</v>
      </c>
      <c r="T22" s="15">
        <f t="shared" si="4"/>
        <v>12</v>
      </c>
      <c r="U22" s="15">
        <f t="shared" si="11"/>
        <v>0</v>
      </c>
      <c r="V22" s="16">
        <f t="shared" si="5"/>
        <v>1</v>
      </c>
    </row>
    <row r="23">
      <c r="A23" s="9">
        <v>8.0</v>
      </c>
      <c r="B23" s="9">
        <v>0.125</v>
      </c>
      <c r="C23" s="28">
        <f t="shared" si="13"/>
        <v>1</v>
      </c>
      <c r="D23" s="9" t="s">
        <v>46</v>
      </c>
      <c r="E23" s="7"/>
      <c r="F23" s="8">
        <v>22.0</v>
      </c>
      <c r="G23" s="10">
        <v>461.0</v>
      </c>
      <c r="H23" s="10">
        <f t="shared" si="6"/>
        <v>5</v>
      </c>
      <c r="I23" s="8">
        <v>22.0</v>
      </c>
      <c r="J23" s="10">
        <v>386.0</v>
      </c>
      <c r="K23" s="10">
        <f t="shared" si="1"/>
        <v>4</v>
      </c>
      <c r="L23" s="11"/>
      <c r="M23" s="12">
        <v>22.0</v>
      </c>
      <c r="N23" s="12">
        <f t="shared" si="7"/>
        <v>5</v>
      </c>
      <c r="O23" s="12">
        <f t="shared" si="8"/>
        <v>111</v>
      </c>
      <c r="P23" s="14">
        <f t="shared" si="2"/>
        <v>4</v>
      </c>
      <c r="Q23" s="15">
        <f t="shared" si="9"/>
        <v>118</v>
      </c>
      <c r="R23" s="14">
        <f t="shared" si="10"/>
        <v>7</v>
      </c>
      <c r="S23" s="15">
        <f t="shared" si="3"/>
        <v>122</v>
      </c>
      <c r="T23" s="15">
        <f t="shared" si="4"/>
        <v>11</v>
      </c>
      <c r="U23" s="15">
        <f t="shared" si="11"/>
        <v>0</v>
      </c>
      <c r="V23" s="16">
        <f t="shared" si="5"/>
        <v>1</v>
      </c>
    </row>
    <row r="24">
      <c r="A24" s="29"/>
      <c r="B24" s="7"/>
      <c r="C24" s="7"/>
      <c r="D24" s="7"/>
      <c r="E24" s="7"/>
      <c r="F24" s="8">
        <v>23.0</v>
      </c>
      <c r="G24" s="10">
        <v>742.0</v>
      </c>
      <c r="H24" s="10">
        <f t="shared" si="6"/>
        <v>8</v>
      </c>
      <c r="I24" s="8">
        <v>23.0</v>
      </c>
      <c r="J24" s="10">
        <v>460.0</v>
      </c>
      <c r="K24" s="10">
        <f t="shared" si="1"/>
        <v>4</v>
      </c>
      <c r="L24" s="11"/>
      <c r="M24" s="12">
        <v>23.0</v>
      </c>
      <c r="N24" s="12">
        <f t="shared" si="7"/>
        <v>8</v>
      </c>
      <c r="O24" s="12">
        <f t="shared" si="8"/>
        <v>119</v>
      </c>
      <c r="P24" s="14">
        <f t="shared" si="2"/>
        <v>4</v>
      </c>
      <c r="Q24" s="15">
        <f t="shared" si="9"/>
        <v>122</v>
      </c>
      <c r="R24" s="14">
        <f t="shared" si="10"/>
        <v>3</v>
      </c>
      <c r="S24" s="15">
        <f t="shared" si="3"/>
        <v>126</v>
      </c>
      <c r="T24" s="15">
        <f t="shared" si="4"/>
        <v>7</v>
      </c>
      <c r="U24" s="15">
        <f t="shared" si="11"/>
        <v>0</v>
      </c>
      <c r="V24" s="16">
        <f t="shared" si="5"/>
        <v>1</v>
      </c>
    </row>
    <row r="25">
      <c r="A25" s="29"/>
      <c r="B25" s="7"/>
      <c r="C25" s="7"/>
      <c r="D25" s="7"/>
      <c r="E25" s="7"/>
      <c r="F25" s="8">
        <v>24.0</v>
      </c>
      <c r="G25" s="10">
        <v>675.0</v>
      </c>
      <c r="H25" s="10">
        <f t="shared" si="6"/>
        <v>7</v>
      </c>
      <c r="I25" s="8">
        <v>24.0</v>
      </c>
      <c r="J25" s="10">
        <v>313.0</v>
      </c>
      <c r="K25" s="10">
        <f t="shared" si="1"/>
        <v>3</v>
      </c>
      <c r="L25" s="11"/>
      <c r="M25" s="12">
        <v>24.0</v>
      </c>
      <c r="N25" s="12">
        <f t="shared" si="7"/>
        <v>7</v>
      </c>
      <c r="O25" s="12">
        <f t="shared" si="8"/>
        <v>126</v>
      </c>
      <c r="P25" s="14">
        <f t="shared" si="2"/>
        <v>3</v>
      </c>
      <c r="Q25" s="15">
        <f t="shared" si="9"/>
        <v>126</v>
      </c>
      <c r="R25" s="14">
        <f t="shared" si="10"/>
        <v>0</v>
      </c>
      <c r="S25" s="15">
        <f t="shared" si="3"/>
        <v>129</v>
      </c>
      <c r="T25" s="15">
        <f t="shared" si="4"/>
        <v>3</v>
      </c>
      <c r="U25" s="15">
        <f t="shared" si="11"/>
        <v>0</v>
      </c>
      <c r="V25" s="16">
        <f t="shared" si="5"/>
        <v>0</v>
      </c>
    </row>
    <row r="26">
      <c r="A26" s="29"/>
      <c r="B26" s="7"/>
      <c r="C26" s="7"/>
      <c r="D26" s="7"/>
      <c r="E26" s="7"/>
      <c r="F26" s="8">
        <v>25.0</v>
      </c>
      <c r="G26" s="10">
        <v>943.0</v>
      </c>
      <c r="H26" s="10">
        <f t="shared" si="6"/>
        <v>10</v>
      </c>
      <c r="I26" s="8">
        <v>25.0</v>
      </c>
      <c r="J26" s="10">
        <v>286.0</v>
      </c>
      <c r="K26" s="10">
        <f t="shared" si="1"/>
        <v>3</v>
      </c>
      <c r="L26" s="11"/>
      <c r="M26" s="12">
        <v>25.0</v>
      </c>
      <c r="N26" s="12">
        <f t="shared" si="7"/>
        <v>10</v>
      </c>
      <c r="O26" s="12">
        <f t="shared" si="8"/>
        <v>136</v>
      </c>
      <c r="P26" s="14">
        <f t="shared" si="2"/>
        <v>3</v>
      </c>
      <c r="Q26" s="15">
        <f t="shared" si="9"/>
        <v>136</v>
      </c>
      <c r="R26" s="14">
        <f t="shared" si="10"/>
        <v>0</v>
      </c>
      <c r="S26" s="15">
        <f t="shared" si="3"/>
        <v>139</v>
      </c>
      <c r="T26" s="15">
        <f t="shared" si="4"/>
        <v>3</v>
      </c>
      <c r="U26" s="15">
        <f t="shared" si="11"/>
        <v>7</v>
      </c>
      <c r="V26" s="16">
        <f t="shared" si="5"/>
        <v>0</v>
      </c>
    </row>
    <row r="27">
      <c r="A27" s="29"/>
      <c r="B27" s="7"/>
      <c r="C27" s="7"/>
      <c r="D27" s="7"/>
      <c r="E27" s="7"/>
      <c r="F27" s="8">
        <v>26.0</v>
      </c>
      <c r="G27" s="10">
        <v>739.0</v>
      </c>
      <c r="H27" s="10">
        <f t="shared" si="6"/>
        <v>8</v>
      </c>
      <c r="I27" s="8">
        <v>26.0</v>
      </c>
      <c r="J27" s="10">
        <v>659.0</v>
      </c>
      <c r="K27" s="10">
        <f t="shared" si="1"/>
        <v>6</v>
      </c>
      <c r="L27" s="11"/>
      <c r="M27" s="12">
        <v>26.0</v>
      </c>
      <c r="N27" s="12">
        <f t="shared" si="7"/>
        <v>8</v>
      </c>
      <c r="O27" s="12">
        <f t="shared" si="8"/>
        <v>144</v>
      </c>
      <c r="P27" s="14">
        <f t="shared" si="2"/>
        <v>6</v>
      </c>
      <c r="Q27" s="15">
        <f t="shared" si="9"/>
        <v>144</v>
      </c>
      <c r="R27" s="14">
        <f t="shared" si="10"/>
        <v>0</v>
      </c>
      <c r="S27" s="15">
        <f t="shared" si="3"/>
        <v>150</v>
      </c>
      <c r="T27" s="15">
        <f t="shared" si="4"/>
        <v>6</v>
      </c>
      <c r="U27" s="15">
        <f t="shared" si="11"/>
        <v>5</v>
      </c>
      <c r="V27" s="16">
        <f t="shared" si="5"/>
        <v>0</v>
      </c>
    </row>
    <row r="28">
      <c r="A28" s="29"/>
      <c r="B28" s="7"/>
      <c r="C28" s="7"/>
      <c r="D28" s="7"/>
      <c r="E28" s="7"/>
      <c r="F28" s="8">
        <v>27.0</v>
      </c>
      <c r="G28" s="10">
        <v>773.0</v>
      </c>
      <c r="H28" s="10">
        <f t="shared" si="6"/>
        <v>8</v>
      </c>
      <c r="I28" s="8">
        <v>27.0</v>
      </c>
      <c r="J28" s="10">
        <v>558.0</v>
      </c>
      <c r="K28" s="10">
        <f t="shared" si="1"/>
        <v>5</v>
      </c>
      <c r="L28" s="11"/>
      <c r="M28" s="12">
        <v>27.0</v>
      </c>
      <c r="N28" s="12">
        <f t="shared" si="7"/>
        <v>8</v>
      </c>
      <c r="O28" s="12">
        <f t="shared" si="8"/>
        <v>152</v>
      </c>
      <c r="P28" s="14">
        <f t="shared" si="2"/>
        <v>5</v>
      </c>
      <c r="Q28" s="15">
        <f t="shared" si="9"/>
        <v>152</v>
      </c>
      <c r="R28" s="14">
        <f t="shared" si="10"/>
        <v>0</v>
      </c>
      <c r="S28" s="15">
        <f t="shared" si="3"/>
        <v>157</v>
      </c>
      <c r="T28" s="15">
        <f t="shared" si="4"/>
        <v>5</v>
      </c>
      <c r="U28" s="15">
        <f t="shared" si="11"/>
        <v>2</v>
      </c>
      <c r="V28" s="16">
        <f t="shared" si="5"/>
        <v>0</v>
      </c>
    </row>
    <row r="29">
      <c r="A29" s="29"/>
      <c r="B29" s="7"/>
      <c r="C29" s="7"/>
      <c r="D29" s="7"/>
      <c r="E29" s="7"/>
      <c r="F29" s="8">
        <v>28.0</v>
      </c>
      <c r="G29" s="10">
        <v>293.0</v>
      </c>
      <c r="H29" s="10">
        <f t="shared" si="6"/>
        <v>3</v>
      </c>
      <c r="I29" s="8">
        <v>28.0</v>
      </c>
      <c r="J29" s="10">
        <v>860.0</v>
      </c>
      <c r="K29" s="10">
        <f t="shared" si="1"/>
        <v>7</v>
      </c>
      <c r="L29" s="11"/>
      <c r="M29" s="12">
        <v>28.0</v>
      </c>
      <c r="N29" s="12">
        <f t="shared" si="7"/>
        <v>3</v>
      </c>
      <c r="O29" s="12">
        <f t="shared" si="8"/>
        <v>155</v>
      </c>
      <c r="P29" s="14">
        <f t="shared" si="2"/>
        <v>7</v>
      </c>
      <c r="Q29" s="15">
        <f t="shared" si="9"/>
        <v>157</v>
      </c>
      <c r="R29" s="14">
        <f t="shared" si="10"/>
        <v>2</v>
      </c>
      <c r="S29" s="15">
        <f t="shared" si="3"/>
        <v>164</v>
      </c>
      <c r="T29" s="15">
        <f t="shared" si="4"/>
        <v>9</v>
      </c>
      <c r="U29" s="15">
        <f t="shared" si="11"/>
        <v>0</v>
      </c>
      <c r="V29" s="16">
        <f t="shared" si="5"/>
        <v>1</v>
      </c>
    </row>
    <row r="30">
      <c r="A30" s="29"/>
      <c r="B30" s="7"/>
      <c r="C30" s="7"/>
      <c r="D30" s="7"/>
      <c r="E30" s="7"/>
      <c r="F30" s="8">
        <v>29.0</v>
      </c>
      <c r="G30" s="10">
        <v>534.0</v>
      </c>
      <c r="H30" s="10">
        <f t="shared" si="6"/>
        <v>6</v>
      </c>
      <c r="I30" s="8">
        <v>29.0</v>
      </c>
      <c r="J30" s="10">
        <v>458.0</v>
      </c>
      <c r="K30" s="10">
        <f t="shared" si="1"/>
        <v>4</v>
      </c>
      <c r="L30" s="11"/>
      <c r="M30" s="12">
        <v>29.0</v>
      </c>
      <c r="N30" s="12">
        <f t="shared" si="7"/>
        <v>6</v>
      </c>
      <c r="O30" s="12">
        <f t="shared" si="8"/>
        <v>161</v>
      </c>
      <c r="P30" s="14">
        <f t="shared" si="2"/>
        <v>4</v>
      </c>
      <c r="Q30" s="15">
        <f t="shared" si="9"/>
        <v>164</v>
      </c>
      <c r="R30" s="14">
        <f t="shared" si="10"/>
        <v>3</v>
      </c>
      <c r="S30" s="15">
        <f t="shared" si="3"/>
        <v>168</v>
      </c>
      <c r="T30" s="15">
        <f t="shared" si="4"/>
        <v>7</v>
      </c>
      <c r="U30" s="15">
        <f t="shared" si="11"/>
        <v>0</v>
      </c>
      <c r="V30" s="16">
        <f t="shared" si="5"/>
        <v>1</v>
      </c>
    </row>
    <row r="31">
      <c r="A31" s="29"/>
      <c r="B31" s="7"/>
      <c r="C31" s="7"/>
      <c r="D31" s="7"/>
      <c r="E31" s="7"/>
      <c r="F31" s="8">
        <v>30.0</v>
      </c>
      <c r="G31" s="10">
        <v>233.0</v>
      </c>
      <c r="H31" s="10">
        <f t="shared" si="6"/>
        <v>3</v>
      </c>
      <c r="I31" s="8">
        <v>30.0</v>
      </c>
      <c r="J31" s="10">
        <v>690.0</v>
      </c>
      <c r="K31" s="10">
        <f t="shared" si="1"/>
        <v>6</v>
      </c>
      <c r="L31" s="11"/>
      <c r="M31" s="12">
        <v>30.0</v>
      </c>
      <c r="N31" s="12">
        <f t="shared" si="7"/>
        <v>3</v>
      </c>
      <c r="O31" s="12">
        <f t="shared" si="8"/>
        <v>164</v>
      </c>
      <c r="P31" s="14">
        <f t="shared" si="2"/>
        <v>6</v>
      </c>
      <c r="Q31" s="15">
        <f t="shared" si="9"/>
        <v>168</v>
      </c>
      <c r="R31" s="14">
        <f t="shared" si="10"/>
        <v>4</v>
      </c>
      <c r="S31" s="15">
        <f t="shared" si="3"/>
        <v>174</v>
      </c>
      <c r="T31" s="15">
        <f t="shared" si="4"/>
        <v>10</v>
      </c>
      <c r="U31" s="15">
        <f t="shared" si="11"/>
        <v>0</v>
      </c>
      <c r="V31" s="16">
        <f t="shared" si="5"/>
        <v>1</v>
      </c>
    </row>
    <row r="32">
      <c r="A32" s="29"/>
      <c r="B32" s="7"/>
      <c r="C32" s="7"/>
      <c r="D32" s="7"/>
      <c r="E32" s="7"/>
      <c r="F32" s="8">
        <v>31.0</v>
      </c>
      <c r="G32" s="10">
        <v>991.0</v>
      </c>
      <c r="H32" s="10">
        <f t="shared" si="6"/>
        <v>10</v>
      </c>
      <c r="I32" s="8">
        <v>31.0</v>
      </c>
      <c r="J32" s="10">
        <v>45.0</v>
      </c>
      <c r="K32" s="10">
        <f t="shared" si="1"/>
        <v>1</v>
      </c>
      <c r="L32" s="11"/>
      <c r="M32" s="12">
        <v>31.0</v>
      </c>
      <c r="N32" s="12">
        <f t="shared" si="7"/>
        <v>10</v>
      </c>
      <c r="O32" s="12">
        <f t="shared" si="8"/>
        <v>174</v>
      </c>
      <c r="P32" s="14">
        <f t="shared" si="2"/>
        <v>1</v>
      </c>
      <c r="Q32" s="15">
        <f t="shared" si="9"/>
        <v>174</v>
      </c>
      <c r="R32" s="14">
        <f t="shared" si="10"/>
        <v>0</v>
      </c>
      <c r="S32" s="15">
        <f t="shared" si="3"/>
        <v>175</v>
      </c>
      <c r="T32" s="15">
        <f t="shared" si="4"/>
        <v>1</v>
      </c>
      <c r="U32" s="15">
        <f t="shared" si="11"/>
        <v>0</v>
      </c>
      <c r="V32" s="16">
        <f t="shared" si="5"/>
        <v>0</v>
      </c>
    </row>
    <row r="33">
      <c r="A33" s="29"/>
      <c r="B33" s="7"/>
      <c r="C33" s="7"/>
      <c r="D33" s="7"/>
      <c r="E33" s="7"/>
      <c r="F33" s="8">
        <v>32.0</v>
      </c>
      <c r="G33" s="10">
        <v>65.0</v>
      </c>
      <c r="H33" s="10">
        <f t="shared" si="6"/>
        <v>1</v>
      </c>
      <c r="I33" s="8">
        <v>32.0</v>
      </c>
      <c r="J33" s="10">
        <v>882.0</v>
      </c>
      <c r="K33" s="10">
        <f t="shared" si="1"/>
        <v>8</v>
      </c>
      <c r="L33" s="11"/>
      <c r="M33" s="12">
        <v>32.0</v>
      </c>
      <c r="N33" s="12">
        <f t="shared" si="7"/>
        <v>1</v>
      </c>
      <c r="O33" s="12">
        <f t="shared" si="8"/>
        <v>175</v>
      </c>
      <c r="P33" s="14">
        <f t="shared" si="2"/>
        <v>8</v>
      </c>
      <c r="Q33" s="15">
        <f t="shared" si="9"/>
        <v>175</v>
      </c>
      <c r="R33" s="14">
        <f t="shared" si="10"/>
        <v>0</v>
      </c>
      <c r="S33" s="15">
        <f t="shared" si="3"/>
        <v>183</v>
      </c>
      <c r="T33" s="15">
        <f t="shared" si="4"/>
        <v>8</v>
      </c>
      <c r="U33" s="15">
        <f t="shared" si="11"/>
        <v>0</v>
      </c>
      <c r="V33" s="16">
        <f t="shared" si="5"/>
        <v>0</v>
      </c>
    </row>
    <row r="34">
      <c r="A34" s="29"/>
      <c r="B34" s="7"/>
      <c r="C34" s="7"/>
      <c r="D34" s="7"/>
      <c r="E34" s="7"/>
      <c r="F34" s="8">
        <v>33.0</v>
      </c>
      <c r="G34" s="10">
        <v>400.0</v>
      </c>
      <c r="H34" s="10">
        <f t="shared" si="6"/>
        <v>4</v>
      </c>
      <c r="I34" s="8">
        <v>33.0</v>
      </c>
      <c r="J34" s="10">
        <v>884.0</v>
      </c>
      <c r="K34" s="10">
        <f t="shared" si="1"/>
        <v>8</v>
      </c>
      <c r="L34" s="11"/>
      <c r="M34" s="12">
        <v>33.0</v>
      </c>
      <c r="N34" s="12">
        <f t="shared" si="7"/>
        <v>4</v>
      </c>
      <c r="O34" s="12">
        <f t="shared" si="8"/>
        <v>179</v>
      </c>
      <c r="P34" s="14">
        <f t="shared" si="2"/>
        <v>8</v>
      </c>
      <c r="Q34" s="15">
        <f t="shared" si="9"/>
        <v>183</v>
      </c>
      <c r="R34" s="14">
        <f t="shared" si="10"/>
        <v>4</v>
      </c>
      <c r="S34" s="15">
        <f t="shared" si="3"/>
        <v>191</v>
      </c>
      <c r="T34" s="15">
        <f t="shared" si="4"/>
        <v>12</v>
      </c>
      <c r="U34" s="15">
        <f t="shared" si="11"/>
        <v>0</v>
      </c>
      <c r="V34" s="16">
        <f t="shared" si="5"/>
        <v>1</v>
      </c>
    </row>
    <row r="35">
      <c r="A35" s="29"/>
      <c r="B35" s="7"/>
      <c r="C35" s="7"/>
      <c r="D35" s="7"/>
      <c r="E35" s="7"/>
      <c r="F35" s="8">
        <v>34.0</v>
      </c>
      <c r="G35" s="10">
        <v>359.0</v>
      </c>
      <c r="H35" s="10">
        <f t="shared" si="6"/>
        <v>4</v>
      </c>
      <c r="I35" s="8">
        <v>34.0</v>
      </c>
      <c r="J35" s="10">
        <v>318.0</v>
      </c>
      <c r="K35" s="10">
        <f t="shared" si="1"/>
        <v>3</v>
      </c>
      <c r="L35" s="11"/>
      <c r="M35" s="12">
        <v>34.0</v>
      </c>
      <c r="N35" s="12">
        <f t="shared" si="7"/>
        <v>4</v>
      </c>
      <c r="O35" s="12">
        <f t="shared" si="8"/>
        <v>183</v>
      </c>
      <c r="P35" s="14">
        <f t="shared" si="2"/>
        <v>3</v>
      </c>
      <c r="Q35" s="15">
        <f t="shared" si="9"/>
        <v>191</v>
      </c>
      <c r="R35" s="14">
        <f t="shared" si="10"/>
        <v>8</v>
      </c>
      <c r="S35" s="15">
        <f t="shared" si="3"/>
        <v>194</v>
      </c>
      <c r="T35" s="15">
        <f t="shared" si="4"/>
        <v>11</v>
      </c>
      <c r="U35" s="15">
        <f t="shared" si="11"/>
        <v>0</v>
      </c>
      <c r="V35" s="16">
        <f t="shared" si="5"/>
        <v>1</v>
      </c>
    </row>
    <row r="36">
      <c r="A36" s="29"/>
      <c r="B36" s="7"/>
      <c r="C36" s="7"/>
      <c r="D36" s="7"/>
      <c r="E36" s="7"/>
      <c r="F36" s="8">
        <v>35.0</v>
      </c>
      <c r="G36" s="10">
        <v>484.0</v>
      </c>
      <c r="H36" s="10">
        <f t="shared" si="6"/>
        <v>5</v>
      </c>
      <c r="I36" s="8">
        <v>35.0</v>
      </c>
      <c r="J36" s="10">
        <v>716.0</v>
      </c>
      <c r="K36" s="10">
        <f t="shared" si="1"/>
        <v>6</v>
      </c>
      <c r="L36" s="11"/>
      <c r="M36" s="12">
        <v>35.0</v>
      </c>
      <c r="N36" s="12">
        <f t="shared" si="7"/>
        <v>5</v>
      </c>
      <c r="O36" s="12">
        <f t="shared" si="8"/>
        <v>188</v>
      </c>
      <c r="P36" s="14">
        <f t="shared" si="2"/>
        <v>6</v>
      </c>
      <c r="Q36" s="15">
        <f t="shared" si="9"/>
        <v>194</v>
      </c>
      <c r="R36" s="14">
        <f t="shared" si="10"/>
        <v>6</v>
      </c>
      <c r="S36" s="15">
        <f t="shared" si="3"/>
        <v>200</v>
      </c>
      <c r="T36" s="15">
        <f t="shared" si="4"/>
        <v>12</v>
      </c>
      <c r="U36" s="15">
        <f t="shared" si="11"/>
        <v>0</v>
      </c>
      <c r="V36" s="16">
        <f t="shared" si="5"/>
        <v>1</v>
      </c>
    </row>
    <row r="37">
      <c r="A37" s="29"/>
      <c r="B37" s="7"/>
      <c r="C37" s="7"/>
      <c r="D37" s="7"/>
      <c r="E37" s="7"/>
      <c r="F37" s="8">
        <v>36.0</v>
      </c>
      <c r="G37" s="10">
        <v>73.0</v>
      </c>
      <c r="H37" s="10">
        <f t="shared" si="6"/>
        <v>1</v>
      </c>
      <c r="I37" s="8">
        <v>36.0</v>
      </c>
      <c r="J37" s="10">
        <v>281.0</v>
      </c>
      <c r="K37" s="10">
        <f t="shared" si="1"/>
        <v>3</v>
      </c>
      <c r="L37" s="11"/>
      <c r="M37" s="12">
        <v>36.0</v>
      </c>
      <c r="N37" s="12">
        <f t="shared" si="7"/>
        <v>1</v>
      </c>
      <c r="O37" s="12">
        <f t="shared" si="8"/>
        <v>189</v>
      </c>
      <c r="P37" s="14">
        <f t="shared" si="2"/>
        <v>3</v>
      </c>
      <c r="Q37" s="15">
        <f t="shared" si="9"/>
        <v>200</v>
      </c>
      <c r="R37" s="14">
        <f t="shared" si="10"/>
        <v>11</v>
      </c>
      <c r="S37" s="15">
        <f t="shared" si="3"/>
        <v>203</v>
      </c>
      <c r="T37" s="15">
        <f t="shared" si="4"/>
        <v>14</v>
      </c>
      <c r="U37" s="15">
        <f t="shared" si="11"/>
        <v>0</v>
      </c>
      <c r="V37" s="16">
        <f t="shared" si="5"/>
        <v>1</v>
      </c>
    </row>
    <row r="38">
      <c r="A38" s="29"/>
      <c r="B38" s="7"/>
      <c r="C38" s="7"/>
      <c r="D38" s="7"/>
      <c r="E38" s="7"/>
      <c r="F38" s="8">
        <v>37.0</v>
      </c>
      <c r="G38" s="10">
        <v>499.0</v>
      </c>
      <c r="H38" s="10">
        <f t="shared" si="6"/>
        <v>5</v>
      </c>
      <c r="I38" s="8">
        <v>37.0</v>
      </c>
      <c r="J38" s="10">
        <v>135.0</v>
      </c>
      <c r="K38" s="10">
        <f t="shared" si="1"/>
        <v>2</v>
      </c>
      <c r="L38" s="11"/>
      <c r="M38" s="12">
        <v>37.0</v>
      </c>
      <c r="N38" s="12">
        <f t="shared" si="7"/>
        <v>5</v>
      </c>
      <c r="O38" s="12">
        <f t="shared" si="8"/>
        <v>194</v>
      </c>
      <c r="P38" s="14">
        <f t="shared" si="2"/>
        <v>2</v>
      </c>
      <c r="Q38" s="15">
        <f t="shared" si="9"/>
        <v>203</v>
      </c>
      <c r="R38" s="14">
        <f t="shared" si="10"/>
        <v>9</v>
      </c>
      <c r="S38" s="15">
        <f t="shared" si="3"/>
        <v>205</v>
      </c>
      <c r="T38" s="15">
        <f t="shared" si="4"/>
        <v>11</v>
      </c>
      <c r="U38" s="15">
        <f t="shared" si="11"/>
        <v>0</v>
      </c>
      <c r="V38" s="16">
        <f t="shared" si="5"/>
        <v>1</v>
      </c>
    </row>
    <row r="39">
      <c r="A39" s="29"/>
      <c r="B39" s="7"/>
      <c r="C39" s="7"/>
      <c r="D39" s="7"/>
      <c r="E39" s="7"/>
      <c r="F39" s="8">
        <v>38.0</v>
      </c>
      <c r="G39" s="10">
        <v>833.0</v>
      </c>
      <c r="H39" s="10">
        <f t="shared" si="6"/>
        <v>9</v>
      </c>
      <c r="I39" s="8">
        <v>38.0</v>
      </c>
      <c r="J39" s="10">
        <v>435.0</v>
      </c>
      <c r="K39" s="10">
        <f t="shared" si="1"/>
        <v>4</v>
      </c>
      <c r="L39" s="11"/>
      <c r="M39" s="12">
        <v>38.0</v>
      </c>
      <c r="N39" s="12">
        <f t="shared" si="7"/>
        <v>9</v>
      </c>
      <c r="O39" s="12">
        <f t="shared" si="8"/>
        <v>203</v>
      </c>
      <c r="P39" s="14">
        <f t="shared" si="2"/>
        <v>4</v>
      </c>
      <c r="Q39" s="15">
        <f t="shared" si="9"/>
        <v>205</v>
      </c>
      <c r="R39" s="14">
        <f t="shared" si="10"/>
        <v>2</v>
      </c>
      <c r="S39" s="15">
        <f t="shared" si="3"/>
        <v>209</v>
      </c>
      <c r="T39" s="15">
        <f t="shared" si="4"/>
        <v>6</v>
      </c>
      <c r="U39" s="15">
        <f t="shared" si="11"/>
        <v>0</v>
      </c>
      <c r="V39" s="16">
        <f t="shared" si="5"/>
        <v>1</v>
      </c>
    </row>
    <row r="40">
      <c r="A40" s="29"/>
      <c r="B40" s="7"/>
      <c r="C40" s="7"/>
      <c r="D40" s="7"/>
      <c r="E40" s="7"/>
      <c r="F40" s="8">
        <v>39.0</v>
      </c>
      <c r="G40" s="10">
        <v>538.0</v>
      </c>
      <c r="H40" s="10">
        <f t="shared" si="6"/>
        <v>6</v>
      </c>
      <c r="I40" s="8">
        <v>39.0</v>
      </c>
      <c r="J40" s="10">
        <v>457.0</v>
      </c>
      <c r="K40" s="10">
        <f t="shared" si="1"/>
        <v>4</v>
      </c>
      <c r="L40" s="11"/>
      <c r="M40" s="12">
        <v>39.0</v>
      </c>
      <c r="N40" s="12">
        <f t="shared" si="7"/>
        <v>6</v>
      </c>
      <c r="O40" s="12">
        <f t="shared" si="8"/>
        <v>209</v>
      </c>
      <c r="P40" s="14">
        <f t="shared" si="2"/>
        <v>4</v>
      </c>
      <c r="Q40" s="15">
        <f t="shared" si="9"/>
        <v>209</v>
      </c>
      <c r="R40" s="14">
        <f t="shared" si="10"/>
        <v>0</v>
      </c>
      <c r="S40" s="15">
        <f t="shared" si="3"/>
        <v>213</v>
      </c>
      <c r="T40" s="15">
        <f t="shared" si="4"/>
        <v>4</v>
      </c>
      <c r="U40" s="15">
        <f t="shared" si="11"/>
        <v>0</v>
      </c>
      <c r="V40" s="16">
        <f t="shared" si="5"/>
        <v>0</v>
      </c>
    </row>
    <row r="41">
      <c r="A41" s="29"/>
      <c r="B41" s="7"/>
      <c r="C41" s="7"/>
      <c r="D41" s="7"/>
      <c r="E41" s="7"/>
      <c r="F41" s="8">
        <v>40.0</v>
      </c>
      <c r="G41" s="10">
        <v>663.0</v>
      </c>
      <c r="H41" s="10">
        <f t="shared" si="6"/>
        <v>7</v>
      </c>
      <c r="I41" s="8">
        <v>40.0</v>
      </c>
      <c r="J41" s="10">
        <v>982.0</v>
      </c>
      <c r="K41" s="10">
        <f t="shared" si="1"/>
        <v>8</v>
      </c>
      <c r="L41" s="11"/>
      <c r="M41" s="12">
        <v>40.0</v>
      </c>
      <c r="N41" s="12">
        <f t="shared" si="7"/>
        <v>7</v>
      </c>
      <c r="O41" s="12">
        <f t="shared" si="8"/>
        <v>216</v>
      </c>
      <c r="P41" s="14">
        <f t="shared" si="2"/>
        <v>8</v>
      </c>
      <c r="Q41" s="15">
        <f t="shared" si="9"/>
        <v>216</v>
      </c>
      <c r="R41" s="14">
        <f t="shared" si="10"/>
        <v>0</v>
      </c>
      <c r="S41" s="15">
        <f t="shared" si="3"/>
        <v>224</v>
      </c>
      <c r="T41" s="15">
        <f t="shared" si="4"/>
        <v>8</v>
      </c>
      <c r="U41" s="15">
        <f t="shared" si="11"/>
        <v>3</v>
      </c>
      <c r="V41" s="16">
        <f t="shared" si="5"/>
        <v>0</v>
      </c>
    </row>
    <row r="42">
      <c r="A42" s="29"/>
      <c r="B42" s="7"/>
      <c r="C42" s="7"/>
      <c r="D42" s="7"/>
      <c r="E42" s="7"/>
      <c r="F42" s="8">
        <v>41.0</v>
      </c>
      <c r="G42" s="10">
        <v>622.0</v>
      </c>
      <c r="H42" s="10">
        <f t="shared" si="6"/>
        <v>7</v>
      </c>
      <c r="I42" s="8">
        <v>41.0</v>
      </c>
      <c r="J42" s="10">
        <v>681.0</v>
      </c>
      <c r="K42" s="10">
        <f t="shared" si="1"/>
        <v>6</v>
      </c>
      <c r="L42" s="11"/>
      <c r="M42" s="12">
        <v>41.0</v>
      </c>
      <c r="N42" s="12">
        <f t="shared" si="7"/>
        <v>7</v>
      </c>
      <c r="O42" s="12">
        <f t="shared" si="8"/>
        <v>223</v>
      </c>
      <c r="P42" s="14">
        <f t="shared" si="2"/>
        <v>6</v>
      </c>
      <c r="Q42" s="15">
        <f t="shared" si="9"/>
        <v>224</v>
      </c>
      <c r="R42" s="14">
        <f t="shared" si="10"/>
        <v>1</v>
      </c>
      <c r="S42" s="15">
        <f t="shared" si="3"/>
        <v>230</v>
      </c>
      <c r="T42" s="15">
        <f t="shared" si="4"/>
        <v>7</v>
      </c>
      <c r="U42" s="15">
        <f t="shared" si="11"/>
        <v>0</v>
      </c>
      <c r="V42" s="16">
        <f t="shared" si="5"/>
        <v>1</v>
      </c>
    </row>
    <row r="43">
      <c r="A43" s="29"/>
      <c r="B43" s="7"/>
      <c r="C43" s="7"/>
      <c r="D43" s="7"/>
      <c r="E43" s="7"/>
      <c r="F43" s="8">
        <v>42.0</v>
      </c>
      <c r="G43" s="10">
        <v>355.0</v>
      </c>
      <c r="H43" s="10">
        <f t="shared" si="6"/>
        <v>4</v>
      </c>
      <c r="I43" s="8">
        <v>42.0</v>
      </c>
      <c r="J43" s="10">
        <v>257.0</v>
      </c>
      <c r="K43" s="10">
        <f t="shared" si="1"/>
        <v>3</v>
      </c>
      <c r="L43" s="11"/>
      <c r="M43" s="12">
        <v>42.0</v>
      </c>
      <c r="N43" s="12">
        <f t="shared" si="7"/>
        <v>4</v>
      </c>
      <c r="O43" s="12">
        <f t="shared" si="8"/>
        <v>227</v>
      </c>
      <c r="P43" s="14">
        <f t="shared" si="2"/>
        <v>3</v>
      </c>
      <c r="Q43" s="15">
        <f t="shared" si="9"/>
        <v>230</v>
      </c>
      <c r="R43" s="14">
        <f t="shared" si="10"/>
        <v>3</v>
      </c>
      <c r="S43" s="15">
        <f t="shared" si="3"/>
        <v>233</v>
      </c>
      <c r="T43" s="15">
        <f t="shared" si="4"/>
        <v>6</v>
      </c>
      <c r="U43" s="15">
        <f t="shared" si="11"/>
        <v>0</v>
      </c>
      <c r="V43" s="16">
        <f t="shared" si="5"/>
        <v>1</v>
      </c>
    </row>
    <row r="44">
      <c r="A44" s="29"/>
      <c r="B44" s="7"/>
      <c r="C44" s="7"/>
      <c r="D44" s="7"/>
      <c r="E44" s="7"/>
      <c r="F44" s="8">
        <v>43.0</v>
      </c>
      <c r="G44" s="10">
        <v>32.0</v>
      </c>
      <c r="H44" s="10">
        <f t="shared" si="6"/>
        <v>1</v>
      </c>
      <c r="I44" s="8">
        <v>43.0</v>
      </c>
      <c r="J44" s="10">
        <v>488.0</v>
      </c>
      <c r="K44" s="10">
        <f t="shared" si="1"/>
        <v>4</v>
      </c>
      <c r="L44" s="11"/>
      <c r="M44" s="12">
        <v>43.0</v>
      </c>
      <c r="N44" s="12">
        <f t="shared" si="7"/>
        <v>1</v>
      </c>
      <c r="O44" s="12">
        <f t="shared" si="8"/>
        <v>228</v>
      </c>
      <c r="P44" s="14">
        <f t="shared" si="2"/>
        <v>4</v>
      </c>
      <c r="Q44" s="15">
        <f t="shared" si="9"/>
        <v>233</v>
      </c>
      <c r="R44" s="14">
        <f t="shared" si="10"/>
        <v>5</v>
      </c>
      <c r="S44" s="15">
        <f t="shared" si="3"/>
        <v>237</v>
      </c>
      <c r="T44" s="15">
        <f t="shared" si="4"/>
        <v>9</v>
      </c>
      <c r="U44" s="15">
        <f t="shared" si="11"/>
        <v>0</v>
      </c>
      <c r="V44" s="16">
        <f t="shared" si="5"/>
        <v>1</v>
      </c>
    </row>
    <row r="45">
      <c r="A45" s="29"/>
      <c r="B45" s="7"/>
      <c r="C45" s="7"/>
      <c r="D45" s="7"/>
      <c r="E45" s="7"/>
      <c r="F45" s="8">
        <v>44.0</v>
      </c>
      <c r="G45" s="10">
        <v>789.0</v>
      </c>
      <c r="H45" s="10">
        <f t="shared" si="6"/>
        <v>8</v>
      </c>
      <c r="I45" s="8">
        <v>44.0</v>
      </c>
      <c r="J45" s="10">
        <v>842.0</v>
      </c>
      <c r="K45" s="10">
        <f t="shared" si="1"/>
        <v>7</v>
      </c>
      <c r="L45" s="11"/>
      <c r="M45" s="12">
        <v>44.0</v>
      </c>
      <c r="N45" s="12">
        <f t="shared" si="7"/>
        <v>8</v>
      </c>
      <c r="O45" s="12">
        <f t="shared" si="8"/>
        <v>236</v>
      </c>
      <c r="P45" s="14">
        <f t="shared" si="2"/>
        <v>7</v>
      </c>
      <c r="Q45" s="15">
        <f t="shared" si="9"/>
        <v>237</v>
      </c>
      <c r="R45" s="14">
        <f t="shared" si="10"/>
        <v>1</v>
      </c>
      <c r="S45" s="15">
        <f t="shared" si="3"/>
        <v>244</v>
      </c>
      <c r="T45" s="15">
        <f t="shared" si="4"/>
        <v>8</v>
      </c>
      <c r="U45" s="15">
        <f t="shared" si="11"/>
        <v>0</v>
      </c>
      <c r="V45" s="16">
        <f t="shared" si="5"/>
        <v>1</v>
      </c>
    </row>
    <row r="46">
      <c r="A46" s="29"/>
      <c r="B46" s="7"/>
      <c r="C46" s="7"/>
      <c r="D46" s="7"/>
      <c r="E46" s="7"/>
      <c r="F46" s="8">
        <v>45.0</v>
      </c>
      <c r="G46" s="10">
        <v>122.0</v>
      </c>
      <c r="H46" s="10">
        <f t="shared" si="6"/>
        <v>2</v>
      </c>
      <c r="I46" s="8">
        <v>45.0</v>
      </c>
      <c r="J46" s="10">
        <v>214.0</v>
      </c>
      <c r="K46" s="10">
        <f t="shared" si="1"/>
        <v>2</v>
      </c>
      <c r="L46" s="11"/>
      <c r="M46" s="12">
        <v>45.0</v>
      </c>
      <c r="N46" s="12">
        <f t="shared" si="7"/>
        <v>2</v>
      </c>
      <c r="O46" s="12">
        <f t="shared" si="8"/>
        <v>238</v>
      </c>
      <c r="P46" s="14">
        <f t="shared" si="2"/>
        <v>2</v>
      </c>
      <c r="Q46" s="15">
        <f t="shared" si="9"/>
        <v>244</v>
      </c>
      <c r="R46" s="14">
        <f t="shared" si="10"/>
        <v>6</v>
      </c>
      <c r="S46" s="15">
        <f t="shared" si="3"/>
        <v>246</v>
      </c>
      <c r="T46" s="15">
        <f t="shared" si="4"/>
        <v>8</v>
      </c>
      <c r="U46" s="15">
        <f t="shared" si="11"/>
        <v>0</v>
      </c>
      <c r="V46" s="16">
        <f t="shared" si="5"/>
        <v>1</v>
      </c>
    </row>
    <row r="47">
      <c r="A47" s="29"/>
      <c r="B47" s="7"/>
      <c r="C47" s="7"/>
      <c r="D47" s="7"/>
      <c r="E47" s="7"/>
      <c r="F47" s="8">
        <v>46.0</v>
      </c>
      <c r="G47" s="10">
        <v>753.0</v>
      </c>
      <c r="H47" s="10">
        <f t="shared" si="6"/>
        <v>8</v>
      </c>
      <c r="I47" s="8">
        <v>46.0</v>
      </c>
      <c r="J47" s="10">
        <v>706.0</v>
      </c>
      <c r="K47" s="10">
        <f t="shared" si="1"/>
        <v>6</v>
      </c>
      <c r="L47" s="11"/>
      <c r="M47" s="12">
        <v>46.0</v>
      </c>
      <c r="N47" s="12">
        <f t="shared" si="7"/>
        <v>8</v>
      </c>
      <c r="O47" s="12">
        <f t="shared" si="8"/>
        <v>246</v>
      </c>
      <c r="P47" s="14">
        <f t="shared" si="2"/>
        <v>6</v>
      </c>
      <c r="Q47" s="15">
        <f t="shared" si="9"/>
        <v>246</v>
      </c>
      <c r="R47" s="14">
        <f t="shared" si="10"/>
        <v>0</v>
      </c>
      <c r="S47" s="15">
        <f t="shared" si="3"/>
        <v>252</v>
      </c>
      <c r="T47" s="15">
        <f t="shared" si="4"/>
        <v>6</v>
      </c>
      <c r="U47" s="15">
        <f t="shared" si="11"/>
        <v>0</v>
      </c>
      <c r="V47" s="16">
        <f t="shared" si="5"/>
        <v>0</v>
      </c>
    </row>
    <row r="48">
      <c r="A48" s="29"/>
      <c r="B48" s="7"/>
      <c r="C48" s="7"/>
      <c r="D48" s="7"/>
      <c r="E48" s="7"/>
      <c r="F48" s="8">
        <v>47.0</v>
      </c>
      <c r="G48" s="10">
        <v>181.0</v>
      </c>
      <c r="H48" s="10">
        <f t="shared" si="6"/>
        <v>2</v>
      </c>
      <c r="I48" s="8">
        <v>47.0</v>
      </c>
      <c r="J48" s="10">
        <v>840.0</v>
      </c>
      <c r="K48" s="10">
        <f t="shared" si="1"/>
        <v>7</v>
      </c>
      <c r="L48" s="11"/>
      <c r="M48" s="12">
        <v>47.0</v>
      </c>
      <c r="N48" s="12">
        <f t="shared" si="7"/>
        <v>2</v>
      </c>
      <c r="O48" s="12">
        <f t="shared" si="8"/>
        <v>248</v>
      </c>
      <c r="P48" s="14">
        <f t="shared" si="2"/>
        <v>7</v>
      </c>
      <c r="Q48" s="15">
        <f t="shared" si="9"/>
        <v>252</v>
      </c>
      <c r="R48" s="14">
        <f t="shared" si="10"/>
        <v>4</v>
      </c>
      <c r="S48" s="15">
        <f t="shared" si="3"/>
        <v>259</v>
      </c>
      <c r="T48" s="15">
        <f t="shared" si="4"/>
        <v>11</v>
      </c>
      <c r="U48" s="15">
        <f t="shared" si="11"/>
        <v>0</v>
      </c>
      <c r="V48" s="16">
        <f t="shared" si="5"/>
        <v>1</v>
      </c>
    </row>
    <row r="49">
      <c r="A49" s="29"/>
      <c r="B49" s="7"/>
      <c r="C49" s="7"/>
      <c r="D49" s="7"/>
      <c r="E49" s="7"/>
      <c r="F49" s="8">
        <v>48.0</v>
      </c>
      <c r="G49" s="10">
        <v>283.0</v>
      </c>
      <c r="H49" s="10">
        <f t="shared" si="6"/>
        <v>3</v>
      </c>
      <c r="I49" s="8">
        <v>48.0</v>
      </c>
      <c r="J49" s="10">
        <v>773.0</v>
      </c>
      <c r="K49" s="10">
        <f t="shared" si="1"/>
        <v>7</v>
      </c>
      <c r="L49" s="11"/>
      <c r="M49" s="12">
        <v>48.0</v>
      </c>
      <c r="N49" s="12">
        <f t="shared" si="7"/>
        <v>3</v>
      </c>
      <c r="O49" s="12">
        <f t="shared" si="8"/>
        <v>251</v>
      </c>
      <c r="P49" s="14">
        <f t="shared" si="2"/>
        <v>7</v>
      </c>
      <c r="Q49" s="15">
        <f t="shared" si="9"/>
        <v>259</v>
      </c>
      <c r="R49" s="14">
        <f t="shared" si="10"/>
        <v>8</v>
      </c>
      <c r="S49" s="15">
        <f t="shared" si="3"/>
        <v>266</v>
      </c>
      <c r="T49" s="15">
        <f t="shared" si="4"/>
        <v>15</v>
      </c>
      <c r="U49" s="15">
        <f t="shared" si="11"/>
        <v>0</v>
      </c>
      <c r="V49" s="16">
        <f t="shared" si="5"/>
        <v>1</v>
      </c>
    </row>
    <row r="50">
      <c r="A50" s="29"/>
      <c r="B50" s="7"/>
      <c r="C50" s="7"/>
      <c r="D50" s="7"/>
      <c r="E50" s="7"/>
      <c r="F50" s="8">
        <v>49.0</v>
      </c>
      <c r="G50" s="10">
        <v>962.0</v>
      </c>
      <c r="H50" s="10">
        <f t="shared" si="6"/>
        <v>10</v>
      </c>
      <c r="I50" s="8">
        <v>49.0</v>
      </c>
      <c r="J50" s="10">
        <v>396.0</v>
      </c>
      <c r="K50" s="10">
        <f t="shared" si="1"/>
        <v>4</v>
      </c>
      <c r="L50" s="11"/>
      <c r="M50" s="12">
        <v>49.0</v>
      </c>
      <c r="N50" s="12">
        <f t="shared" si="7"/>
        <v>10</v>
      </c>
      <c r="O50" s="12">
        <f t="shared" si="8"/>
        <v>261</v>
      </c>
      <c r="P50" s="14">
        <f t="shared" si="2"/>
        <v>4</v>
      </c>
      <c r="Q50" s="15">
        <f t="shared" si="9"/>
        <v>266</v>
      </c>
      <c r="R50" s="14">
        <f t="shared" si="10"/>
        <v>5</v>
      </c>
      <c r="S50" s="15">
        <f t="shared" si="3"/>
        <v>270</v>
      </c>
      <c r="T50" s="15">
        <f t="shared" si="4"/>
        <v>9</v>
      </c>
      <c r="U50" s="15">
        <f t="shared" si="11"/>
        <v>0</v>
      </c>
      <c r="V50" s="16">
        <f t="shared" si="5"/>
        <v>1</v>
      </c>
    </row>
    <row r="51">
      <c r="A51" s="29"/>
      <c r="B51" s="7"/>
      <c r="C51" s="7"/>
      <c r="D51" s="7"/>
      <c r="E51" s="7"/>
      <c r="F51" s="8">
        <v>50.0</v>
      </c>
      <c r="G51" s="10">
        <v>297.0</v>
      </c>
      <c r="H51" s="10">
        <f t="shared" si="6"/>
        <v>3</v>
      </c>
      <c r="I51" s="8">
        <v>50.0</v>
      </c>
      <c r="J51" s="10">
        <v>690.0</v>
      </c>
      <c r="K51" s="10">
        <f t="shared" si="1"/>
        <v>6</v>
      </c>
      <c r="L51" s="11"/>
      <c r="M51" s="12">
        <v>50.0</v>
      </c>
      <c r="N51" s="12">
        <f t="shared" si="7"/>
        <v>3</v>
      </c>
      <c r="O51" s="12">
        <f t="shared" si="8"/>
        <v>264</v>
      </c>
      <c r="P51" s="14">
        <f t="shared" si="2"/>
        <v>6</v>
      </c>
      <c r="Q51" s="15">
        <f t="shared" si="9"/>
        <v>270</v>
      </c>
      <c r="R51" s="14">
        <f t="shared" si="10"/>
        <v>6</v>
      </c>
      <c r="S51" s="15">
        <f t="shared" si="3"/>
        <v>276</v>
      </c>
      <c r="T51" s="15">
        <f t="shared" si="4"/>
        <v>12</v>
      </c>
      <c r="U51" s="15">
        <f t="shared" si="11"/>
        <v>0</v>
      </c>
      <c r="V51" s="16">
        <f t="shared" si="5"/>
        <v>1</v>
      </c>
    </row>
    <row r="52">
      <c r="A52" s="29"/>
      <c r="B52" s="7"/>
      <c r="C52" s="7"/>
      <c r="D52" s="7"/>
      <c r="E52" s="7"/>
      <c r="F52" s="8">
        <v>51.0</v>
      </c>
      <c r="G52" s="10">
        <v>188.0</v>
      </c>
      <c r="H52" s="10">
        <f t="shared" si="6"/>
        <v>2</v>
      </c>
      <c r="I52" s="8">
        <v>51.0</v>
      </c>
      <c r="J52" s="10">
        <v>481.0</v>
      </c>
      <c r="K52" s="10">
        <f t="shared" si="1"/>
        <v>4</v>
      </c>
      <c r="L52" s="11"/>
      <c r="M52" s="12">
        <v>51.0</v>
      </c>
      <c r="N52" s="12">
        <f t="shared" si="7"/>
        <v>2</v>
      </c>
      <c r="O52" s="12">
        <f t="shared" si="8"/>
        <v>266</v>
      </c>
      <c r="P52" s="14">
        <f t="shared" si="2"/>
        <v>4</v>
      </c>
      <c r="Q52" s="15">
        <f t="shared" si="9"/>
        <v>276</v>
      </c>
      <c r="R52" s="14">
        <f t="shared" si="10"/>
        <v>10</v>
      </c>
      <c r="S52" s="15">
        <f t="shared" si="3"/>
        <v>280</v>
      </c>
      <c r="T52" s="15">
        <f t="shared" si="4"/>
        <v>14</v>
      </c>
      <c r="U52" s="15">
        <f t="shared" si="11"/>
        <v>0</v>
      </c>
      <c r="V52" s="16">
        <f t="shared" si="5"/>
        <v>1</v>
      </c>
    </row>
    <row r="53">
      <c r="A53" s="29"/>
      <c r="B53" s="7"/>
      <c r="C53" s="7"/>
      <c r="D53" s="7"/>
      <c r="E53" s="7"/>
      <c r="F53" s="8">
        <v>52.0</v>
      </c>
      <c r="G53" s="10">
        <v>337.0</v>
      </c>
      <c r="H53" s="10">
        <f t="shared" si="6"/>
        <v>4</v>
      </c>
      <c r="I53" s="8">
        <v>52.0</v>
      </c>
      <c r="J53" s="10">
        <v>13.0</v>
      </c>
      <c r="K53" s="10">
        <f t="shared" si="1"/>
        <v>1</v>
      </c>
      <c r="L53" s="11"/>
      <c r="M53" s="12">
        <v>52.0</v>
      </c>
      <c r="N53" s="12">
        <f t="shared" si="7"/>
        <v>4</v>
      </c>
      <c r="O53" s="12">
        <f t="shared" si="8"/>
        <v>270</v>
      </c>
      <c r="P53" s="14">
        <f t="shared" si="2"/>
        <v>1</v>
      </c>
      <c r="Q53" s="15">
        <f t="shared" si="9"/>
        <v>280</v>
      </c>
      <c r="R53" s="14">
        <f t="shared" si="10"/>
        <v>10</v>
      </c>
      <c r="S53" s="15">
        <f t="shared" si="3"/>
        <v>281</v>
      </c>
      <c r="T53" s="15">
        <f t="shared" si="4"/>
        <v>11</v>
      </c>
      <c r="U53" s="15">
        <f t="shared" si="11"/>
        <v>0</v>
      </c>
      <c r="V53" s="16">
        <f t="shared" si="5"/>
        <v>1</v>
      </c>
    </row>
    <row r="54">
      <c r="A54" s="29"/>
      <c r="B54" s="7"/>
      <c r="C54" s="7"/>
      <c r="D54" s="7"/>
      <c r="E54" s="7"/>
      <c r="F54" s="8">
        <v>53.0</v>
      </c>
      <c r="G54" s="10">
        <v>458.0</v>
      </c>
      <c r="H54" s="10">
        <f t="shared" si="6"/>
        <v>5</v>
      </c>
      <c r="I54" s="8">
        <v>53.0</v>
      </c>
      <c r="J54" s="10">
        <v>6.0</v>
      </c>
      <c r="K54" s="10">
        <f t="shared" si="1"/>
        <v>1</v>
      </c>
      <c r="L54" s="11"/>
      <c r="M54" s="12">
        <v>53.0</v>
      </c>
      <c r="N54" s="12">
        <f t="shared" si="7"/>
        <v>5</v>
      </c>
      <c r="O54" s="12">
        <f t="shared" si="8"/>
        <v>275</v>
      </c>
      <c r="P54" s="14">
        <f t="shared" si="2"/>
        <v>1</v>
      </c>
      <c r="Q54" s="15">
        <f t="shared" si="9"/>
        <v>281</v>
      </c>
      <c r="R54" s="14">
        <f t="shared" si="10"/>
        <v>6</v>
      </c>
      <c r="S54" s="15">
        <f t="shared" si="3"/>
        <v>282</v>
      </c>
      <c r="T54" s="15">
        <f t="shared" si="4"/>
        <v>7</v>
      </c>
      <c r="U54" s="15">
        <f t="shared" si="11"/>
        <v>0</v>
      </c>
      <c r="V54" s="16">
        <f t="shared" si="5"/>
        <v>1</v>
      </c>
    </row>
    <row r="55">
      <c r="A55" s="29"/>
      <c r="B55" s="7"/>
      <c r="C55" s="7"/>
      <c r="D55" s="7"/>
      <c r="E55" s="7"/>
      <c r="F55" s="8">
        <v>54.0</v>
      </c>
      <c r="G55" s="10">
        <v>421.0</v>
      </c>
      <c r="H55" s="10">
        <f t="shared" si="6"/>
        <v>5</v>
      </c>
      <c r="I55" s="8">
        <v>54.0</v>
      </c>
      <c r="J55" s="10">
        <v>705.0</v>
      </c>
      <c r="K55" s="10">
        <f t="shared" si="1"/>
        <v>6</v>
      </c>
      <c r="L55" s="11"/>
      <c r="M55" s="12">
        <v>54.0</v>
      </c>
      <c r="N55" s="12">
        <f t="shared" si="7"/>
        <v>5</v>
      </c>
      <c r="O55" s="12">
        <f t="shared" si="8"/>
        <v>280</v>
      </c>
      <c r="P55" s="14">
        <f t="shared" si="2"/>
        <v>6</v>
      </c>
      <c r="Q55" s="15">
        <f t="shared" si="9"/>
        <v>282</v>
      </c>
      <c r="R55" s="14">
        <f t="shared" si="10"/>
        <v>2</v>
      </c>
      <c r="S55" s="15">
        <f t="shared" si="3"/>
        <v>288</v>
      </c>
      <c r="T55" s="15">
        <f t="shared" si="4"/>
        <v>8</v>
      </c>
      <c r="U55" s="15">
        <f t="shared" si="11"/>
        <v>0</v>
      </c>
      <c r="V55" s="16">
        <f t="shared" si="5"/>
        <v>1</v>
      </c>
    </row>
    <row r="56">
      <c r="A56" s="29"/>
      <c r="B56" s="7"/>
      <c r="C56" s="7"/>
      <c r="D56" s="7"/>
      <c r="E56" s="7"/>
      <c r="F56" s="8">
        <v>55.0</v>
      </c>
      <c r="G56" s="10">
        <v>412.0</v>
      </c>
      <c r="H56" s="10">
        <f t="shared" si="6"/>
        <v>5</v>
      </c>
      <c r="I56" s="8">
        <v>55.0</v>
      </c>
      <c r="J56" s="10">
        <v>835.0</v>
      </c>
      <c r="K56" s="10">
        <f t="shared" si="1"/>
        <v>7</v>
      </c>
      <c r="L56" s="11"/>
      <c r="M56" s="12">
        <v>55.0</v>
      </c>
      <c r="N56" s="12">
        <f t="shared" si="7"/>
        <v>5</v>
      </c>
      <c r="O56" s="12">
        <f t="shared" si="8"/>
        <v>285</v>
      </c>
      <c r="P56" s="14">
        <f t="shared" si="2"/>
        <v>7</v>
      </c>
      <c r="Q56" s="15">
        <f t="shared" si="9"/>
        <v>288</v>
      </c>
      <c r="R56" s="14">
        <f t="shared" si="10"/>
        <v>3</v>
      </c>
      <c r="S56" s="15">
        <f t="shared" si="3"/>
        <v>295</v>
      </c>
      <c r="T56" s="15">
        <f t="shared" si="4"/>
        <v>10</v>
      </c>
      <c r="U56" s="15">
        <f t="shared" si="11"/>
        <v>0</v>
      </c>
      <c r="V56" s="16">
        <f t="shared" si="5"/>
        <v>1</v>
      </c>
    </row>
    <row r="57">
      <c r="A57" s="29"/>
      <c r="B57" s="7"/>
      <c r="C57" s="7"/>
      <c r="D57" s="7"/>
      <c r="E57" s="7"/>
      <c r="F57" s="8">
        <v>56.0</v>
      </c>
      <c r="G57" s="10">
        <v>609.0</v>
      </c>
      <c r="H57" s="10">
        <f t="shared" si="6"/>
        <v>7</v>
      </c>
      <c r="I57" s="8">
        <v>56.0</v>
      </c>
      <c r="J57" s="10">
        <v>531.0</v>
      </c>
      <c r="K57" s="10">
        <f t="shared" si="1"/>
        <v>5</v>
      </c>
      <c r="L57" s="11"/>
      <c r="M57" s="12">
        <v>56.0</v>
      </c>
      <c r="N57" s="12">
        <f t="shared" si="7"/>
        <v>7</v>
      </c>
      <c r="O57" s="12">
        <f t="shared" si="8"/>
        <v>292</v>
      </c>
      <c r="P57" s="14">
        <f t="shared" si="2"/>
        <v>5</v>
      </c>
      <c r="Q57" s="15">
        <f t="shared" si="9"/>
        <v>295</v>
      </c>
      <c r="R57" s="14">
        <f t="shared" si="10"/>
        <v>3</v>
      </c>
      <c r="S57" s="15">
        <f t="shared" si="3"/>
        <v>300</v>
      </c>
      <c r="T57" s="15">
        <f t="shared" si="4"/>
        <v>8</v>
      </c>
      <c r="U57" s="15">
        <f t="shared" si="11"/>
        <v>0</v>
      </c>
      <c r="V57" s="16">
        <f t="shared" si="5"/>
        <v>1</v>
      </c>
    </row>
    <row r="58">
      <c r="A58" s="29"/>
      <c r="B58" s="7"/>
      <c r="C58" s="7"/>
      <c r="D58" s="7"/>
      <c r="E58" s="7"/>
      <c r="F58" s="8">
        <v>57.0</v>
      </c>
      <c r="G58" s="10">
        <v>812.0</v>
      </c>
      <c r="H58" s="10">
        <f t="shared" si="6"/>
        <v>9</v>
      </c>
      <c r="I58" s="8">
        <v>57.0</v>
      </c>
      <c r="J58" s="10">
        <v>398.0</v>
      </c>
      <c r="K58" s="10">
        <f t="shared" si="1"/>
        <v>4</v>
      </c>
      <c r="L58" s="11"/>
      <c r="M58" s="12">
        <v>57.0</v>
      </c>
      <c r="N58" s="12">
        <f t="shared" si="7"/>
        <v>9</v>
      </c>
      <c r="O58" s="12">
        <f t="shared" si="8"/>
        <v>301</v>
      </c>
      <c r="P58" s="14">
        <f t="shared" si="2"/>
        <v>4</v>
      </c>
      <c r="Q58" s="15">
        <f t="shared" si="9"/>
        <v>301</v>
      </c>
      <c r="R58" s="14">
        <f t="shared" si="10"/>
        <v>0</v>
      </c>
      <c r="S58" s="15">
        <f t="shared" si="3"/>
        <v>305</v>
      </c>
      <c r="T58" s="15">
        <f t="shared" si="4"/>
        <v>4</v>
      </c>
      <c r="U58" s="15">
        <f t="shared" si="11"/>
        <v>1</v>
      </c>
      <c r="V58" s="16">
        <f t="shared" si="5"/>
        <v>0</v>
      </c>
    </row>
    <row r="59">
      <c r="A59" s="29"/>
      <c r="B59" s="7"/>
      <c r="C59" s="7"/>
      <c r="D59" s="7"/>
      <c r="E59" s="7"/>
      <c r="F59" s="8">
        <v>58.0</v>
      </c>
      <c r="G59" s="10">
        <v>236.0</v>
      </c>
      <c r="H59" s="10">
        <f t="shared" si="6"/>
        <v>3</v>
      </c>
      <c r="I59" s="8">
        <v>58.0</v>
      </c>
      <c r="J59" s="10">
        <v>553.0</v>
      </c>
      <c r="K59" s="10">
        <f t="shared" si="1"/>
        <v>5</v>
      </c>
      <c r="L59" s="11"/>
      <c r="M59" s="12">
        <v>58.0</v>
      </c>
      <c r="N59" s="12">
        <f t="shared" si="7"/>
        <v>3</v>
      </c>
      <c r="O59" s="12">
        <f t="shared" si="8"/>
        <v>304</v>
      </c>
      <c r="P59" s="14">
        <f t="shared" si="2"/>
        <v>5</v>
      </c>
      <c r="Q59" s="15">
        <f t="shared" si="9"/>
        <v>305</v>
      </c>
      <c r="R59" s="14">
        <f t="shared" si="10"/>
        <v>1</v>
      </c>
      <c r="S59" s="15">
        <f t="shared" si="3"/>
        <v>310</v>
      </c>
      <c r="T59" s="15">
        <f t="shared" si="4"/>
        <v>6</v>
      </c>
      <c r="U59" s="15">
        <f t="shared" si="11"/>
        <v>0</v>
      </c>
      <c r="V59" s="16">
        <f t="shared" si="5"/>
        <v>1</v>
      </c>
    </row>
    <row r="60">
      <c r="A60" s="29"/>
      <c r="B60" s="7"/>
      <c r="C60" s="7"/>
      <c r="D60" s="7"/>
      <c r="E60" s="7"/>
      <c r="F60" s="8">
        <v>59.0</v>
      </c>
      <c r="G60" s="10">
        <v>776.0</v>
      </c>
      <c r="H60" s="10">
        <f t="shared" si="6"/>
        <v>8</v>
      </c>
      <c r="I60" s="8">
        <v>59.0</v>
      </c>
      <c r="J60" s="10">
        <v>729.0</v>
      </c>
      <c r="K60" s="10">
        <f t="shared" si="1"/>
        <v>6</v>
      </c>
      <c r="L60" s="11"/>
      <c r="M60" s="12">
        <v>59.0</v>
      </c>
      <c r="N60" s="12">
        <f t="shared" si="7"/>
        <v>8</v>
      </c>
      <c r="O60" s="12">
        <f t="shared" si="8"/>
        <v>312</v>
      </c>
      <c r="P60" s="14">
        <f t="shared" si="2"/>
        <v>6</v>
      </c>
      <c r="Q60" s="15">
        <f t="shared" si="9"/>
        <v>312</v>
      </c>
      <c r="R60" s="14">
        <f t="shared" si="10"/>
        <v>0</v>
      </c>
      <c r="S60" s="15">
        <f t="shared" si="3"/>
        <v>318</v>
      </c>
      <c r="T60" s="15">
        <f t="shared" si="4"/>
        <v>6</v>
      </c>
      <c r="U60" s="15">
        <f t="shared" si="11"/>
        <v>2</v>
      </c>
      <c r="V60" s="16">
        <f t="shared" si="5"/>
        <v>0</v>
      </c>
    </row>
    <row r="61">
      <c r="A61" s="29"/>
      <c r="B61" s="7"/>
      <c r="C61" s="7"/>
      <c r="D61" s="7"/>
      <c r="E61" s="7"/>
      <c r="F61" s="8">
        <v>60.0</v>
      </c>
      <c r="G61" s="10">
        <v>928.0</v>
      </c>
      <c r="H61" s="10">
        <f t="shared" si="6"/>
        <v>10</v>
      </c>
      <c r="I61" s="8">
        <v>60.0</v>
      </c>
      <c r="J61" s="10">
        <v>419.0</v>
      </c>
      <c r="K61" s="10">
        <f t="shared" si="1"/>
        <v>4</v>
      </c>
      <c r="L61" s="11"/>
      <c r="M61" s="12">
        <v>60.0</v>
      </c>
      <c r="N61" s="12">
        <f t="shared" si="7"/>
        <v>10</v>
      </c>
      <c r="O61" s="12">
        <f t="shared" si="8"/>
        <v>322</v>
      </c>
      <c r="P61" s="14">
        <f t="shared" si="2"/>
        <v>4</v>
      </c>
      <c r="Q61" s="15">
        <f t="shared" si="9"/>
        <v>322</v>
      </c>
      <c r="R61" s="14">
        <f t="shared" si="10"/>
        <v>0</v>
      </c>
      <c r="S61" s="15">
        <f t="shared" si="3"/>
        <v>326</v>
      </c>
      <c r="T61" s="15">
        <f t="shared" si="4"/>
        <v>4</v>
      </c>
      <c r="U61" s="15">
        <f t="shared" si="11"/>
        <v>4</v>
      </c>
      <c r="V61" s="16">
        <f t="shared" si="5"/>
        <v>0</v>
      </c>
    </row>
    <row r="62">
      <c r="A62" s="29"/>
      <c r="B62" s="7"/>
      <c r="C62" s="7"/>
      <c r="D62" s="7"/>
      <c r="E62" s="7"/>
      <c r="F62" s="8">
        <v>61.0</v>
      </c>
      <c r="G62" s="10">
        <v>860.0</v>
      </c>
      <c r="H62" s="10">
        <f t="shared" si="6"/>
        <v>9</v>
      </c>
      <c r="I62" s="8">
        <v>61.0</v>
      </c>
      <c r="J62" s="10">
        <v>796.0</v>
      </c>
      <c r="K62" s="10">
        <f t="shared" si="1"/>
        <v>7</v>
      </c>
      <c r="L62" s="11"/>
      <c r="M62" s="12">
        <v>61.0</v>
      </c>
      <c r="N62" s="12">
        <f t="shared" si="7"/>
        <v>9</v>
      </c>
      <c r="O62" s="12">
        <f t="shared" si="8"/>
        <v>331</v>
      </c>
      <c r="P62" s="14">
        <f t="shared" si="2"/>
        <v>7</v>
      </c>
      <c r="Q62" s="15">
        <f t="shared" si="9"/>
        <v>331</v>
      </c>
      <c r="R62" s="14">
        <f t="shared" si="10"/>
        <v>0</v>
      </c>
      <c r="S62" s="15">
        <f t="shared" si="3"/>
        <v>338</v>
      </c>
      <c r="T62" s="15">
        <f t="shared" si="4"/>
        <v>7</v>
      </c>
      <c r="U62" s="15">
        <f t="shared" si="11"/>
        <v>5</v>
      </c>
      <c r="V62" s="16">
        <f t="shared" si="5"/>
        <v>0</v>
      </c>
    </row>
    <row r="63">
      <c r="A63" s="29"/>
      <c r="B63" s="7"/>
      <c r="C63" s="7"/>
      <c r="D63" s="7"/>
      <c r="E63" s="7"/>
      <c r="F63" s="8">
        <v>62.0</v>
      </c>
      <c r="G63" s="10">
        <v>985.0</v>
      </c>
      <c r="H63" s="10">
        <f t="shared" si="6"/>
        <v>10</v>
      </c>
      <c r="I63" s="8">
        <v>62.0</v>
      </c>
      <c r="J63" s="10">
        <v>726.0</v>
      </c>
      <c r="K63" s="10">
        <f t="shared" si="1"/>
        <v>6</v>
      </c>
      <c r="L63" s="11"/>
      <c r="M63" s="12">
        <v>62.0</v>
      </c>
      <c r="N63" s="12">
        <f t="shared" si="7"/>
        <v>10</v>
      </c>
      <c r="O63" s="12">
        <f t="shared" si="8"/>
        <v>341</v>
      </c>
      <c r="P63" s="14">
        <f t="shared" si="2"/>
        <v>6</v>
      </c>
      <c r="Q63" s="15">
        <f t="shared" si="9"/>
        <v>341</v>
      </c>
      <c r="R63" s="14">
        <f t="shared" si="10"/>
        <v>0</v>
      </c>
      <c r="S63" s="15">
        <f t="shared" si="3"/>
        <v>347</v>
      </c>
      <c r="T63" s="15">
        <f t="shared" si="4"/>
        <v>6</v>
      </c>
      <c r="U63" s="15">
        <f t="shared" si="11"/>
        <v>3</v>
      </c>
      <c r="V63" s="16">
        <f t="shared" si="5"/>
        <v>0</v>
      </c>
    </row>
    <row r="64">
      <c r="A64" s="29"/>
      <c r="B64" s="7"/>
      <c r="C64" s="7"/>
      <c r="D64" s="7"/>
      <c r="E64" s="7"/>
      <c r="F64" s="8">
        <v>63.0</v>
      </c>
      <c r="G64" s="10">
        <v>321.0</v>
      </c>
      <c r="H64" s="10">
        <f t="shared" si="6"/>
        <v>4</v>
      </c>
      <c r="I64" s="8">
        <v>63.0</v>
      </c>
      <c r="J64" s="10">
        <v>488.0</v>
      </c>
      <c r="K64" s="10">
        <f t="shared" si="1"/>
        <v>4</v>
      </c>
      <c r="L64" s="11"/>
      <c r="M64" s="12">
        <v>63.0</v>
      </c>
      <c r="N64" s="12">
        <f t="shared" si="7"/>
        <v>4</v>
      </c>
      <c r="O64" s="12">
        <f t="shared" si="8"/>
        <v>345</v>
      </c>
      <c r="P64" s="14">
        <f t="shared" si="2"/>
        <v>4</v>
      </c>
      <c r="Q64" s="15">
        <f t="shared" si="9"/>
        <v>347</v>
      </c>
      <c r="R64" s="14">
        <f t="shared" si="10"/>
        <v>2</v>
      </c>
      <c r="S64" s="15">
        <f t="shared" si="3"/>
        <v>351</v>
      </c>
      <c r="T64" s="15">
        <f t="shared" si="4"/>
        <v>6</v>
      </c>
      <c r="U64" s="15">
        <f t="shared" si="11"/>
        <v>0</v>
      </c>
      <c r="V64" s="16">
        <f t="shared" si="5"/>
        <v>1</v>
      </c>
    </row>
    <row r="65">
      <c r="A65" s="29"/>
      <c r="B65" s="7"/>
      <c r="C65" s="7"/>
      <c r="D65" s="7"/>
      <c r="E65" s="7"/>
      <c r="F65" s="8">
        <v>64.0</v>
      </c>
      <c r="G65" s="10">
        <v>211.0</v>
      </c>
      <c r="H65" s="10">
        <f t="shared" si="6"/>
        <v>3</v>
      </c>
      <c r="I65" s="8">
        <v>64.0</v>
      </c>
      <c r="J65" s="10">
        <v>279.0</v>
      </c>
      <c r="K65" s="10">
        <f t="shared" si="1"/>
        <v>3</v>
      </c>
      <c r="L65" s="11"/>
      <c r="M65" s="12">
        <v>64.0</v>
      </c>
      <c r="N65" s="12">
        <f t="shared" si="7"/>
        <v>3</v>
      </c>
      <c r="O65" s="12">
        <f t="shared" si="8"/>
        <v>348</v>
      </c>
      <c r="P65" s="14">
        <f t="shared" si="2"/>
        <v>3</v>
      </c>
      <c r="Q65" s="15">
        <f t="shared" si="9"/>
        <v>351</v>
      </c>
      <c r="R65" s="14">
        <f t="shared" si="10"/>
        <v>3</v>
      </c>
      <c r="S65" s="15">
        <f t="shared" si="3"/>
        <v>354</v>
      </c>
      <c r="T65" s="15">
        <f t="shared" si="4"/>
        <v>6</v>
      </c>
      <c r="U65" s="15">
        <f t="shared" si="11"/>
        <v>0</v>
      </c>
      <c r="V65" s="16">
        <f t="shared" si="5"/>
        <v>1</v>
      </c>
    </row>
    <row r="66">
      <c r="A66" s="29"/>
      <c r="B66" s="7"/>
      <c r="C66" s="7"/>
      <c r="D66" s="7"/>
      <c r="E66" s="7"/>
      <c r="F66" s="8">
        <v>65.0</v>
      </c>
      <c r="G66" s="10">
        <v>640.0</v>
      </c>
      <c r="H66" s="10">
        <f t="shared" si="6"/>
        <v>7</v>
      </c>
      <c r="I66" s="8">
        <v>65.0</v>
      </c>
      <c r="J66" s="10">
        <v>833.0</v>
      </c>
      <c r="K66" s="10">
        <f t="shared" si="1"/>
        <v>7</v>
      </c>
      <c r="L66" s="11"/>
      <c r="M66" s="12">
        <v>65.0</v>
      </c>
      <c r="N66" s="12">
        <f t="shared" si="7"/>
        <v>7</v>
      </c>
      <c r="O66" s="12">
        <f t="shared" si="8"/>
        <v>355</v>
      </c>
      <c r="P66" s="14">
        <f t="shared" si="2"/>
        <v>7</v>
      </c>
      <c r="Q66" s="15">
        <f t="shared" si="9"/>
        <v>355</v>
      </c>
      <c r="R66" s="14">
        <f t="shared" si="10"/>
        <v>0</v>
      </c>
      <c r="S66" s="15">
        <f t="shared" si="3"/>
        <v>362</v>
      </c>
      <c r="T66" s="15">
        <f t="shared" si="4"/>
        <v>7</v>
      </c>
      <c r="U66" s="15">
        <f t="shared" si="11"/>
        <v>1</v>
      </c>
      <c r="V66" s="16">
        <f t="shared" si="5"/>
        <v>0</v>
      </c>
    </row>
    <row r="67">
      <c r="A67" s="29"/>
      <c r="B67" s="7"/>
      <c r="C67" s="7"/>
      <c r="D67" s="7"/>
      <c r="E67" s="7"/>
      <c r="F67" s="8">
        <v>66.0</v>
      </c>
      <c r="G67" s="10">
        <v>37.0</v>
      </c>
      <c r="H67" s="10">
        <f t="shared" si="6"/>
        <v>1</v>
      </c>
      <c r="I67" s="8">
        <v>66.0</v>
      </c>
      <c r="J67" s="10">
        <v>804.0</v>
      </c>
      <c r="K67" s="10">
        <f t="shared" si="1"/>
        <v>7</v>
      </c>
      <c r="L67" s="11"/>
      <c r="M67" s="12">
        <v>66.0</v>
      </c>
      <c r="N67" s="12">
        <f t="shared" si="7"/>
        <v>1</v>
      </c>
      <c r="O67" s="12">
        <f t="shared" si="8"/>
        <v>356</v>
      </c>
      <c r="P67" s="14">
        <f t="shared" si="2"/>
        <v>7</v>
      </c>
      <c r="Q67" s="15">
        <f t="shared" si="9"/>
        <v>362</v>
      </c>
      <c r="R67" s="14">
        <f t="shared" si="10"/>
        <v>6</v>
      </c>
      <c r="S67" s="15">
        <f t="shared" si="3"/>
        <v>369</v>
      </c>
      <c r="T67" s="15">
        <f t="shared" si="4"/>
        <v>13</v>
      </c>
      <c r="U67" s="15">
        <f t="shared" si="11"/>
        <v>0</v>
      </c>
      <c r="V67" s="16">
        <f t="shared" si="5"/>
        <v>1</v>
      </c>
    </row>
    <row r="68">
      <c r="A68" s="29"/>
      <c r="B68" s="7"/>
      <c r="C68" s="7"/>
      <c r="D68" s="7"/>
      <c r="E68" s="7"/>
      <c r="F68" s="8">
        <v>67.0</v>
      </c>
      <c r="G68" s="10">
        <v>536.0</v>
      </c>
      <c r="H68" s="10">
        <f t="shared" si="6"/>
        <v>6</v>
      </c>
      <c r="I68" s="8">
        <v>67.0</v>
      </c>
      <c r="J68" s="10">
        <v>128.0</v>
      </c>
      <c r="K68" s="10">
        <f t="shared" si="1"/>
        <v>2</v>
      </c>
      <c r="L68" s="11"/>
      <c r="M68" s="12">
        <v>67.0</v>
      </c>
      <c r="N68" s="12">
        <f t="shared" si="7"/>
        <v>6</v>
      </c>
      <c r="O68" s="12">
        <f t="shared" si="8"/>
        <v>362</v>
      </c>
      <c r="P68" s="14">
        <f t="shared" si="2"/>
        <v>2</v>
      </c>
      <c r="Q68" s="15">
        <f t="shared" si="9"/>
        <v>369</v>
      </c>
      <c r="R68" s="14">
        <f t="shared" si="10"/>
        <v>7</v>
      </c>
      <c r="S68" s="15">
        <f t="shared" si="3"/>
        <v>371</v>
      </c>
      <c r="T68" s="15">
        <f t="shared" si="4"/>
        <v>9</v>
      </c>
      <c r="U68" s="15">
        <f t="shared" si="11"/>
        <v>0</v>
      </c>
      <c r="V68" s="16">
        <f t="shared" si="5"/>
        <v>1</v>
      </c>
    </row>
    <row r="69">
      <c r="A69" s="29"/>
      <c r="B69" s="7"/>
      <c r="C69" s="7"/>
      <c r="D69" s="7"/>
      <c r="E69" s="7"/>
      <c r="F69" s="8">
        <v>68.0</v>
      </c>
      <c r="G69" s="10">
        <v>435.0</v>
      </c>
      <c r="H69" s="10">
        <f t="shared" si="6"/>
        <v>5</v>
      </c>
      <c r="I69" s="8">
        <v>68.0</v>
      </c>
      <c r="J69" s="10">
        <v>891.0</v>
      </c>
      <c r="K69" s="10">
        <f t="shared" si="1"/>
        <v>8</v>
      </c>
      <c r="L69" s="11"/>
      <c r="M69" s="12">
        <v>68.0</v>
      </c>
      <c r="N69" s="12">
        <f t="shared" si="7"/>
        <v>5</v>
      </c>
      <c r="O69" s="12">
        <f t="shared" si="8"/>
        <v>367</v>
      </c>
      <c r="P69" s="14">
        <f t="shared" si="2"/>
        <v>8</v>
      </c>
      <c r="Q69" s="15">
        <f t="shared" si="9"/>
        <v>371</v>
      </c>
      <c r="R69" s="14">
        <f t="shared" si="10"/>
        <v>4</v>
      </c>
      <c r="S69" s="15">
        <f t="shared" si="3"/>
        <v>379</v>
      </c>
      <c r="T69" s="15">
        <f t="shared" si="4"/>
        <v>12</v>
      </c>
      <c r="U69" s="15">
        <f t="shared" si="11"/>
        <v>0</v>
      </c>
      <c r="V69" s="16">
        <f t="shared" si="5"/>
        <v>1</v>
      </c>
    </row>
    <row r="70">
      <c r="A70" s="29"/>
      <c r="B70" s="7"/>
      <c r="C70" s="7"/>
      <c r="D70" s="7"/>
      <c r="E70" s="7"/>
      <c r="F70" s="8">
        <v>69.0</v>
      </c>
      <c r="G70" s="10">
        <v>502.0</v>
      </c>
      <c r="H70" s="10">
        <f t="shared" si="6"/>
        <v>6</v>
      </c>
      <c r="I70" s="8">
        <v>69.0</v>
      </c>
      <c r="J70" s="10">
        <v>421.0</v>
      </c>
      <c r="K70" s="10">
        <f t="shared" si="1"/>
        <v>4</v>
      </c>
      <c r="L70" s="11"/>
      <c r="M70" s="12">
        <v>69.0</v>
      </c>
      <c r="N70" s="12">
        <f t="shared" si="7"/>
        <v>6</v>
      </c>
      <c r="O70" s="12">
        <f t="shared" si="8"/>
        <v>373</v>
      </c>
      <c r="P70" s="14">
        <f t="shared" si="2"/>
        <v>4</v>
      </c>
      <c r="Q70" s="15">
        <f t="shared" si="9"/>
        <v>379</v>
      </c>
      <c r="R70" s="14">
        <f t="shared" si="10"/>
        <v>6</v>
      </c>
      <c r="S70" s="15">
        <f t="shared" si="3"/>
        <v>383</v>
      </c>
      <c r="T70" s="15">
        <f t="shared" si="4"/>
        <v>10</v>
      </c>
      <c r="U70" s="15">
        <f t="shared" si="11"/>
        <v>0</v>
      </c>
      <c r="V70" s="16">
        <f t="shared" si="5"/>
        <v>1</v>
      </c>
    </row>
    <row r="71">
      <c r="A71" s="29"/>
      <c r="B71" s="7"/>
      <c r="C71" s="7"/>
      <c r="D71" s="7"/>
      <c r="E71" s="7"/>
      <c r="F71" s="8">
        <v>70.0</v>
      </c>
      <c r="G71" s="10">
        <v>634.0</v>
      </c>
      <c r="H71" s="10">
        <f t="shared" si="6"/>
        <v>7</v>
      </c>
      <c r="I71" s="8">
        <v>70.0</v>
      </c>
      <c r="J71" s="10">
        <v>220.0</v>
      </c>
      <c r="K71" s="10">
        <f t="shared" si="1"/>
        <v>2</v>
      </c>
      <c r="L71" s="11"/>
      <c r="M71" s="12">
        <v>70.0</v>
      </c>
      <c r="N71" s="12">
        <f t="shared" si="7"/>
        <v>7</v>
      </c>
      <c r="O71" s="12">
        <f t="shared" si="8"/>
        <v>380</v>
      </c>
      <c r="P71" s="14">
        <f t="shared" si="2"/>
        <v>2</v>
      </c>
      <c r="Q71" s="15">
        <f t="shared" si="9"/>
        <v>383</v>
      </c>
      <c r="R71" s="14">
        <f t="shared" si="10"/>
        <v>3</v>
      </c>
      <c r="S71" s="15">
        <f t="shared" si="3"/>
        <v>385</v>
      </c>
      <c r="T71" s="15">
        <f t="shared" si="4"/>
        <v>5</v>
      </c>
      <c r="U71" s="15">
        <f t="shared" si="11"/>
        <v>0</v>
      </c>
      <c r="V71" s="16">
        <f t="shared" si="5"/>
        <v>1</v>
      </c>
    </row>
    <row r="72">
      <c r="A72" s="29"/>
      <c r="B72" s="7"/>
      <c r="C72" s="7"/>
      <c r="D72" s="7"/>
      <c r="E72" s="7"/>
      <c r="F72" s="8">
        <v>71.0</v>
      </c>
      <c r="G72" s="10">
        <v>567.0</v>
      </c>
      <c r="H72" s="10">
        <f t="shared" si="6"/>
        <v>6</v>
      </c>
      <c r="I72" s="8">
        <v>71.0</v>
      </c>
      <c r="J72" s="10">
        <v>352.0</v>
      </c>
      <c r="K72" s="10">
        <f t="shared" si="1"/>
        <v>3</v>
      </c>
      <c r="L72" s="11"/>
      <c r="M72" s="12">
        <v>71.0</v>
      </c>
      <c r="N72" s="12">
        <f t="shared" si="7"/>
        <v>6</v>
      </c>
      <c r="O72" s="12">
        <f t="shared" si="8"/>
        <v>386</v>
      </c>
      <c r="P72" s="14">
        <f t="shared" si="2"/>
        <v>3</v>
      </c>
      <c r="Q72" s="15">
        <f t="shared" si="9"/>
        <v>386</v>
      </c>
      <c r="R72" s="14">
        <f t="shared" si="10"/>
        <v>0</v>
      </c>
      <c r="S72" s="15">
        <f t="shared" si="3"/>
        <v>389</v>
      </c>
      <c r="T72" s="15">
        <f t="shared" si="4"/>
        <v>3</v>
      </c>
      <c r="U72" s="15">
        <f t="shared" si="11"/>
        <v>1</v>
      </c>
      <c r="V72" s="16">
        <f t="shared" si="5"/>
        <v>0</v>
      </c>
    </row>
    <row r="73">
      <c r="A73" s="29"/>
      <c r="B73" s="7"/>
      <c r="C73" s="7"/>
      <c r="D73" s="7"/>
      <c r="E73" s="7"/>
      <c r="F73" s="8">
        <v>72.0</v>
      </c>
      <c r="G73" s="10">
        <v>575.0</v>
      </c>
      <c r="H73" s="10">
        <f t="shared" si="6"/>
        <v>6</v>
      </c>
      <c r="I73" s="8">
        <v>72.0</v>
      </c>
      <c r="J73" s="10">
        <v>62.0</v>
      </c>
      <c r="K73" s="10">
        <f t="shared" si="1"/>
        <v>1</v>
      </c>
      <c r="L73" s="11"/>
      <c r="M73" s="12">
        <v>72.0</v>
      </c>
      <c r="N73" s="12">
        <f t="shared" si="7"/>
        <v>6</v>
      </c>
      <c r="O73" s="12">
        <f t="shared" si="8"/>
        <v>392</v>
      </c>
      <c r="P73" s="14">
        <f t="shared" si="2"/>
        <v>1</v>
      </c>
      <c r="Q73" s="15">
        <f t="shared" si="9"/>
        <v>392</v>
      </c>
      <c r="R73" s="14">
        <f t="shared" si="10"/>
        <v>0</v>
      </c>
      <c r="S73" s="15">
        <f t="shared" si="3"/>
        <v>393</v>
      </c>
      <c r="T73" s="15">
        <f t="shared" si="4"/>
        <v>1</v>
      </c>
      <c r="U73" s="15">
        <f t="shared" si="11"/>
        <v>3</v>
      </c>
      <c r="V73" s="16">
        <f t="shared" si="5"/>
        <v>0</v>
      </c>
    </row>
    <row r="74">
      <c r="A74" s="29"/>
      <c r="B74" s="7"/>
      <c r="C74" s="7"/>
      <c r="D74" s="7"/>
      <c r="E74" s="7"/>
      <c r="F74" s="8">
        <v>73.0</v>
      </c>
      <c r="G74" s="10">
        <v>726.0</v>
      </c>
      <c r="H74" s="10">
        <f t="shared" si="6"/>
        <v>8</v>
      </c>
      <c r="I74" s="8">
        <v>73.0</v>
      </c>
      <c r="J74" s="10">
        <v>217.0</v>
      </c>
      <c r="K74" s="10">
        <f t="shared" si="1"/>
        <v>2</v>
      </c>
      <c r="L74" s="11"/>
      <c r="M74" s="12">
        <v>73.0</v>
      </c>
      <c r="N74" s="12">
        <f t="shared" si="7"/>
        <v>8</v>
      </c>
      <c r="O74" s="12">
        <f t="shared" si="8"/>
        <v>400</v>
      </c>
      <c r="P74" s="14">
        <f t="shared" si="2"/>
        <v>2</v>
      </c>
      <c r="Q74" s="15">
        <f t="shared" si="9"/>
        <v>400</v>
      </c>
      <c r="R74" s="14">
        <f t="shared" si="10"/>
        <v>0</v>
      </c>
      <c r="S74" s="15">
        <f t="shared" si="3"/>
        <v>402</v>
      </c>
      <c r="T74" s="15">
        <f t="shared" si="4"/>
        <v>2</v>
      </c>
      <c r="U74" s="15">
        <f t="shared" si="11"/>
        <v>7</v>
      </c>
      <c r="V74" s="16">
        <f t="shared" si="5"/>
        <v>0</v>
      </c>
    </row>
    <row r="75">
      <c r="A75" s="29"/>
      <c r="B75" s="7"/>
      <c r="C75" s="7"/>
      <c r="D75" s="7"/>
      <c r="E75" s="7"/>
      <c r="F75" s="8">
        <v>74.0</v>
      </c>
      <c r="G75" s="10">
        <v>659.0</v>
      </c>
      <c r="H75" s="10">
        <f t="shared" si="6"/>
        <v>7</v>
      </c>
      <c r="I75" s="8">
        <v>74.0</v>
      </c>
      <c r="J75" s="10">
        <v>617.0</v>
      </c>
      <c r="K75" s="10">
        <f t="shared" si="1"/>
        <v>5</v>
      </c>
      <c r="L75" s="11"/>
      <c r="M75" s="12">
        <v>74.0</v>
      </c>
      <c r="N75" s="12">
        <f t="shared" si="7"/>
        <v>7</v>
      </c>
      <c r="O75" s="12">
        <f t="shared" si="8"/>
        <v>407</v>
      </c>
      <c r="P75" s="14">
        <f t="shared" si="2"/>
        <v>5</v>
      </c>
      <c r="Q75" s="15">
        <f t="shared" si="9"/>
        <v>407</v>
      </c>
      <c r="R75" s="14">
        <f t="shared" si="10"/>
        <v>0</v>
      </c>
      <c r="S75" s="15">
        <f t="shared" si="3"/>
        <v>412</v>
      </c>
      <c r="T75" s="15">
        <f t="shared" si="4"/>
        <v>5</v>
      </c>
      <c r="U75" s="15">
        <f t="shared" si="11"/>
        <v>5</v>
      </c>
      <c r="V75" s="16">
        <f t="shared" si="5"/>
        <v>0</v>
      </c>
    </row>
    <row r="76">
      <c r="A76" s="29"/>
      <c r="B76" s="7"/>
      <c r="C76" s="7"/>
      <c r="D76" s="7"/>
      <c r="E76" s="7"/>
      <c r="F76" s="8">
        <v>75.0</v>
      </c>
      <c r="G76" s="10">
        <v>32.0</v>
      </c>
      <c r="H76" s="10">
        <f t="shared" si="6"/>
        <v>1</v>
      </c>
      <c r="I76" s="8">
        <v>75.0</v>
      </c>
      <c r="J76" s="10">
        <v>525.0</v>
      </c>
      <c r="K76" s="10">
        <f t="shared" si="1"/>
        <v>5</v>
      </c>
      <c r="L76" s="11"/>
      <c r="M76" s="12">
        <v>75.0</v>
      </c>
      <c r="N76" s="12">
        <f t="shared" si="7"/>
        <v>1</v>
      </c>
      <c r="O76" s="12">
        <f t="shared" si="8"/>
        <v>408</v>
      </c>
      <c r="P76" s="14">
        <f t="shared" si="2"/>
        <v>5</v>
      </c>
      <c r="Q76" s="15">
        <f t="shared" si="9"/>
        <v>412</v>
      </c>
      <c r="R76" s="14">
        <f t="shared" si="10"/>
        <v>4</v>
      </c>
      <c r="S76" s="15">
        <f t="shared" si="3"/>
        <v>417</v>
      </c>
      <c r="T76" s="15">
        <f t="shared" si="4"/>
        <v>9</v>
      </c>
      <c r="U76" s="15">
        <f t="shared" si="11"/>
        <v>0</v>
      </c>
      <c r="V76" s="16">
        <f t="shared" si="5"/>
        <v>1</v>
      </c>
    </row>
    <row r="77">
      <c r="A77" s="29"/>
      <c r="B77" s="7"/>
      <c r="C77" s="7"/>
      <c r="D77" s="7"/>
      <c r="E77" s="7"/>
      <c r="F77" s="8">
        <v>76.0</v>
      </c>
      <c r="G77" s="10">
        <v>743.0</v>
      </c>
      <c r="H77" s="10">
        <f t="shared" si="6"/>
        <v>8</v>
      </c>
      <c r="I77" s="8">
        <v>76.0</v>
      </c>
      <c r="J77" s="10">
        <v>378.0</v>
      </c>
      <c r="K77" s="10">
        <f t="shared" si="1"/>
        <v>4</v>
      </c>
      <c r="L77" s="11"/>
      <c r="M77" s="12">
        <v>76.0</v>
      </c>
      <c r="N77" s="12">
        <f t="shared" si="7"/>
        <v>8</v>
      </c>
      <c r="O77" s="12">
        <f t="shared" si="8"/>
        <v>416</v>
      </c>
      <c r="P77" s="14">
        <f t="shared" si="2"/>
        <v>4</v>
      </c>
      <c r="Q77" s="15">
        <f t="shared" si="9"/>
        <v>417</v>
      </c>
      <c r="R77" s="14">
        <f t="shared" si="10"/>
        <v>1</v>
      </c>
      <c r="S77" s="15">
        <f t="shared" si="3"/>
        <v>421</v>
      </c>
      <c r="T77" s="15">
        <f t="shared" si="4"/>
        <v>5</v>
      </c>
      <c r="U77" s="15">
        <f t="shared" si="11"/>
        <v>0</v>
      </c>
      <c r="V77" s="16">
        <f t="shared" si="5"/>
        <v>1</v>
      </c>
    </row>
    <row r="78">
      <c r="A78" s="29"/>
      <c r="B78" s="7"/>
      <c r="C78" s="7"/>
      <c r="D78" s="7"/>
      <c r="E78" s="7"/>
      <c r="F78" s="8">
        <v>77.0</v>
      </c>
      <c r="G78" s="10">
        <v>9.0</v>
      </c>
      <c r="H78" s="10">
        <f t="shared" si="6"/>
        <v>1</v>
      </c>
      <c r="I78" s="8">
        <v>77.0</v>
      </c>
      <c r="J78" s="10">
        <v>609.0</v>
      </c>
      <c r="K78" s="10">
        <f t="shared" si="1"/>
        <v>5</v>
      </c>
      <c r="L78" s="11"/>
      <c r="M78" s="12">
        <v>77.0</v>
      </c>
      <c r="N78" s="12">
        <f t="shared" si="7"/>
        <v>1</v>
      </c>
      <c r="O78" s="12">
        <f t="shared" si="8"/>
        <v>417</v>
      </c>
      <c r="P78" s="14">
        <f t="shared" si="2"/>
        <v>5</v>
      </c>
      <c r="Q78" s="15">
        <f t="shared" si="9"/>
        <v>421</v>
      </c>
      <c r="R78" s="14">
        <f t="shared" si="10"/>
        <v>4</v>
      </c>
      <c r="S78" s="15">
        <f t="shared" si="3"/>
        <v>426</v>
      </c>
      <c r="T78" s="15">
        <f t="shared" si="4"/>
        <v>9</v>
      </c>
      <c r="U78" s="15">
        <f t="shared" si="11"/>
        <v>0</v>
      </c>
      <c r="V78" s="16">
        <f t="shared" si="5"/>
        <v>1</v>
      </c>
    </row>
    <row r="79">
      <c r="A79" s="29"/>
      <c r="B79" s="7"/>
      <c r="C79" s="7"/>
      <c r="D79" s="7"/>
      <c r="E79" s="7"/>
      <c r="F79" s="8">
        <v>78.0</v>
      </c>
      <c r="G79" s="10">
        <v>164.0</v>
      </c>
      <c r="H79" s="10">
        <f t="shared" si="6"/>
        <v>2</v>
      </c>
      <c r="I79" s="8">
        <v>78.0</v>
      </c>
      <c r="J79" s="10">
        <v>615.0</v>
      </c>
      <c r="K79" s="10">
        <f t="shared" si="1"/>
        <v>5</v>
      </c>
      <c r="L79" s="11"/>
      <c r="M79" s="12">
        <v>78.0</v>
      </c>
      <c r="N79" s="12">
        <f t="shared" si="7"/>
        <v>2</v>
      </c>
      <c r="O79" s="12">
        <f t="shared" si="8"/>
        <v>419</v>
      </c>
      <c r="P79" s="14">
        <f t="shared" si="2"/>
        <v>5</v>
      </c>
      <c r="Q79" s="15">
        <f t="shared" si="9"/>
        <v>426</v>
      </c>
      <c r="R79" s="14">
        <f t="shared" si="10"/>
        <v>7</v>
      </c>
      <c r="S79" s="15">
        <f t="shared" si="3"/>
        <v>431</v>
      </c>
      <c r="T79" s="15">
        <f t="shared" si="4"/>
        <v>12</v>
      </c>
      <c r="U79" s="15">
        <f t="shared" si="11"/>
        <v>0</v>
      </c>
      <c r="V79" s="16">
        <f t="shared" si="5"/>
        <v>1</v>
      </c>
    </row>
    <row r="80">
      <c r="A80" s="29"/>
      <c r="B80" s="7"/>
      <c r="C80" s="7"/>
      <c r="D80" s="7"/>
      <c r="E80" s="7"/>
      <c r="F80" s="8">
        <v>79.0</v>
      </c>
      <c r="G80" s="10">
        <v>835.0</v>
      </c>
      <c r="H80" s="10">
        <f t="shared" si="6"/>
        <v>9</v>
      </c>
      <c r="I80" s="8">
        <v>79.0</v>
      </c>
      <c r="J80" s="10">
        <v>625.0</v>
      </c>
      <c r="K80" s="10">
        <f t="shared" si="1"/>
        <v>5</v>
      </c>
      <c r="L80" s="11"/>
      <c r="M80" s="12">
        <v>79.0</v>
      </c>
      <c r="N80" s="12">
        <f t="shared" si="7"/>
        <v>9</v>
      </c>
      <c r="O80" s="12">
        <f t="shared" si="8"/>
        <v>428</v>
      </c>
      <c r="P80" s="14">
        <f t="shared" si="2"/>
        <v>5</v>
      </c>
      <c r="Q80" s="15">
        <f t="shared" si="9"/>
        <v>431</v>
      </c>
      <c r="R80" s="14">
        <f t="shared" si="10"/>
        <v>3</v>
      </c>
      <c r="S80" s="15">
        <f t="shared" si="3"/>
        <v>436</v>
      </c>
      <c r="T80" s="15">
        <f t="shared" si="4"/>
        <v>8</v>
      </c>
      <c r="U80" s="15">
        <f t="shared" si="11"/>
        <v>0</v>
      </c>
      <c r="V80" s="16">
        <f t="shared" si="5"/>
        <v>1</v>
      </c>
    </row>
    <row r="81">
      <c r="A81" s="29"/>
      <c r="B81" s="7"/>
      <c r="C81" s="7"/>
      <c r="D81" s="7"/>
      <c r="E81" s="7"/>
      <c r="F81" s="8">
        <v>80.0</v>
      </c>
      <c r="G81" s="10">
        <v>357.0</v>
      </c>
      <c r="H81" s="10">
        <f t="shared" si="6"/>
        <v>4</v>
      </c>
      <c r="I81" s="8">
        <v>80.0</v>
      </c>
      <c r="J81" s="10">
        <v>925.0</v>
      </c>
      <c r="K81" s="10">
        <f t="shared" si="1"/>
        <v>8</v>
      </c>
      <c r="L81" s="11"/>
      <c r="M81" s="12">
        <v>80.0</v>
      </c>
      <c r="N81" s="12">
        <f t="shared" si="7"/>
        <v>4</v>
      </c>
      <c r="O81" s="12">
        <f t="shared" si="8"/>
        <v>432</v>
      </c>
      <c r="P81" s="14">
        <f t="shared" si="2"/>
        <v>8</v>
      </c>
      <c r="Q81" s="15">
        <f t="shared" si="9"/>
        <v>436</v>
      </c>
      <c r="R81" s="14">
        <f t="shared" si="10"/>
        <v>4</v>
      </c>
      <c r="S81" s="15">
        <f t="shared" si="3"/>
        <v>444</v>
      </c>
      <c r="T81" s="15">
        <f t="shared" si="4"/>
        <v>12</v>
      </c>
      <c r="U81" s="15">
        <f t="shared" si="11"/>
        <v>0</v>
      </c>
      <c r="V81" s="16">
        <f t="shared" si="5"/>
        <v>1</v>
      </c>
    </row>
    <row r="82">
      <c r="A82" s="29"/>
      <c r="B82" s="7"/>
      <c r="C82" s="7"/>
      <c r="D82" s="7"/>
      <c r="E82" s="7"/>
      <c r="F82" s="8">
        <v>81.0</v>
      </c>
      <c r="G82" s="10">
        <v>765.0</v>
      </c>
      <c r="H82" s="10">
        <f t="shared" si="6"/>
        <v>8</v>
      </c>
      <c r="I82" s="8">
        <v>81.0</v>
      </c>
      <c r="J82" s="10">
        <v>690.0</v>
      </c>
      <c r="K82" s="10">
        <f t="shared" si="1"/>
        <v>6</v>
      </c>
      <c r="L82" s="11"/>
      <c r="M82" s="12">
        <v>81.0</v>
      </c>
      <c r="N82" s="12">
        <f t="shared" si="7"/>
        <v>8</v>
      </c>
      <c r="O82" s="12">
        <f t="shared" si="8"/>
        <v>440</v>
      </c>
      <c r="P82" s="14">
        <f t="shared" si="2"/>
        <v>6</v>
      </c>
      <c r="Q82" s="15">
        <f t="shared" si="9"/>
        <v>444</v>
      </c>
      <c r="R82" s="14">
        <f t="shared" si="10"/>
        <v>4</v>
      </c>
      <c r="S82" s="15">
        <f t="shared" si="3"/>
        <v>450</v>
      </c>
      <c r="T82" s="15">
        <f t="shared" si="4"/>
        <v>10</v>
      </c>
      <c r="U82" s="15">
        <f t="shared" si="11"/>
        <v>0</v>
      </c>
      <c r="V82" s="16">
        <f t="shared" si="5"/>
        <v>1</v>
      </c>
    </row>
    <row r="83">
      <c r="A83" s="29"/>
      <c r="B83" s="7"/>
      <c r="C83" s="7"/>
      <c r="D83" s="7"/>
      <c r="E83" s="7"/>
      <c r="F83" s="8">
        <v>82.0</v>
      </c>
      <c r="G83" s="10">
        <v>300.0</v>
      </c>
      <c r="H83" s="10">
        <f t="shared" si="6"/>
        <v>3</v>
      </c>
      <c r="I83" s="8">
        <v>82.0</v>
      </c>
      <c r="J83" s="10">
        <v>752.0</v>
      </c>
      <c r="K83" s="10">
        <f t="shared" si="1"/>
        <v>7</v>
      </c>
      <c r="L83" s="11"/>
      <c r="M83" s="12">
        <v>82.0</v>
      </c>
      <c r="N83" s="12">
        <f t="shared" si="7"/>
        <v>3</v>
      </c>
      <c r="O83" s="12">
        <f t="shared" si="8"/>
        <v>443</v>
      </c>
      <c r="P83" s="14">
        <f t="shared" si="2"/>
        <v>7</v>
      </c>
      <c r="Q83" s="15">
        <f t="shared" si="9"/>
        <v>450</v>
      </c>
      <c r="R83" s="14">
        <f t="shared" si="10"/>
        <v>7</v>
      </c>
      <c r="S83" s="15">
        <f t="shared" si="3"/>
        <v>457</v>
      </c>
      <c r="T83" s="15">
        <f t="shared" si="4"/>
        <v>14</v>
      </c>
      <c r="U83" s="15">
        <f t="shared" si="11"/>
        <v>0</v>
      </c>
      <c r="V83" s="16">
        <f t="shared" si="5"/>
        <v>1</v>
      </c>
    </row>
    <row r="84">
      <c r="A84" s="29"/>
      <c r="B84" s="7"/>
      <c r="C84" s="7"/>
      <c r="D84" s="7"/>
      <c r="E84" s="7"/>
      <c r="F84" s="8">
        <v>83.0</v>
      </c>
      <c r="G84" s="10">
        <v>964.0</v>
      </c>
      <c r="H84" s="10">
        <f t="shared" si="6"/>
        <v>10</v>
      </c>
      <c r="I84" s="8">
        <v>83.0</v>
      </c>
      <c r="J84" s="10">
        <v>18.0</v>
      </c>
      <c r="K84" s="10">
        <f t="shared" si="1"/>
        <v>1</v>
      </c>
      <c r="L84" s="11"/>
      <c r="M84" s="12">
        <v>83.0</v>
      </c>
      <c r="N84" s="12">
        <f t="shared" si="7"/>
        <v>10</v>
      </c>
      <c r="O84" s="12">
        <f t="shared" si="8"/>
        <v>453</v>
      </c>
      <c r="P84" s="14">
        <f t="shared" si="2"/>
        <v>1</v>
      </c>
      <c r="Q84" s="15">
        <f t="shared" si="9"/>
        <v>457</v>
      </c>
      <c r="R84" s="14">
        <f t="shared" si="10"/>
        <v>4</v>
      </c>
      <c r="S84" s="15">
        <f t="shared" si="3"/>
        <v>458</v>
      </c>
      <c r="T84" s="15">
        <f t="shared" si="4"/>
        <v>5</v>
      </c>
      <c r="U84" s="15">
        <f t="shared" si="11"/>
        <v>0</v>
      </c>
      <c r="V84" s="16">
        <f t="shared" si="5"/>
        <v>1</v>
      </c>
    </row>
    <row r="85">
      <c r="A85" s="29"/>
      <c r="B85" s="7"/>
      <c r="C85" s="7"/>
      <c r="D85" s="7"/>
      <c r="E85" s="7"/>
      <c r="F85" s="8">
        <v>84.0</v>
      </c>
      <c r="G85" s="10">
        <v>388.0</v>
      </c>
      <c r="H85" s="10">
        <f t="shared" si="6"/>
        <v>4</v>
      </c>
      <c r="I85" s="8">
        <v>84.0</v>
      </c>
      <c r="J85" s="10">
        <v>947.0</v>
      </c>
      <c r="K85" s="10">
        <f t="shared" si="1"/>
        <v>8</v>
      </c>
      <c r="L85" s="11"/>
      <c r="M85" s="12">
        <v>84.0</v>
      </c>
      <c r="N85" s="12">
        <f t="shared" si="7"/>
        <v>4</v>
      </c>
      <c r="O85" s="12">
        <f t="shared" si="8"/>
        <v>457</v>
      </c>
      <c r="P85" s="14">
        <f t="shared" si="2"/>
        <v>8</v>
      </c>
      <c r="Q85" s="15">
        <f t="shared" si="9"/>
        <v>458</v>
      </c>
      <c r="R85" s="14">
        <f t="shared" si="10"/>
        <v>1</v>
      </c>
      <c r="S85" s="15">
        <f t="shared" si="3"/>
        <v>466</v>
      </c>
      <c r="T85" s="15">
        <f t="shared" si="4"/>
        <v>9</v>
      </c>
      <c r="U85" s="15">
        <f t="shared" si="11"/>
        <v>0</v>
      </c>
      <c r="V85" s="16">
        <f t="shared" si="5"/>
        <v>1</v>
      </c>
    </row>
    <row r="86">
      <c r="A86" s="29"/>
      <c r="B86" s="7"/>
      <c r="C86" s="7"/>
      <c r="D86" s="7"/>
      <c r="E86" s="7"/>
      <c r="F86" s="8">
        <v>85.0</v>
      </c>
      <c r="G86" s="10">
        <v>651.0</v>
      </c>
      <c r="H86" s="10">
        <f t="shared" si="6"/>
        <v>7</v>
      </c>
      <c r="I86" s="8">
        <v>85.0</v>
      </c>
      <c r="J86" s="10">
        <v>727.0</v>
      </c>
      <c r="K86" s="10">
        <f t="shared" si="1"/>
        <v>6</v>
      </c>
      <c r="L86" s="11"/>
      <c r="M86" s="12">
        <v>85.0</v>
      </c>
      <c r="N86" s="12">
        <f t="shared" si="7"/>
        <v>7</v>
      </c>
      <c r="O86" s="12">
        <f t="shared" si="8"/>
        <v>464</v>
      </c>
      <c r="P86" s="14">
        <f t="shared" si="2"/>
        <v>6</v>
      </c>
      <c r="Q86" s="15">
        <f t="shared" si="9"/>
        <v>466</v>
      </c>
      <c r="R86" s="14">
        <f t="shared" si="10"/>
        <v>2</v>
      </c>
      <c r="S86" s="15">
        <f t="shared" si="3"/>
        <v>472</v>
      </c>
      <c r="T86" s="15">
        <f t="shared" si="4"/>
        <v>8</v>
      </c>
      <c r="U86" s="15">
        <f t="shared" si="11"/>
        <v>0</v>
      </c>
      <c r="V86" s="16">
        <f t="shared" si="5"/>
        <v>1</v>
      </c>
    </row>
    <row r="87">
      <c r="A87" s="29"/>
      <c r="B87" s="7"/>
      <c r="C87" s="7"/>
      <c r="D87" s="7"/>
      <c r="E87" s="7"/>
      <c r="F87" s="8">
        <v>86.0</v>
      </c>
      <c r="G87" s="10">
        <v>57.0</v>
      </c>
      <c r="H87" s="10">
        <f t="shared" si="6"/>
        <v>1</v>
      </c>
      <c r="I87" s="8">
        <v>86.0</v>
      </c>
      <c r="J87" s="10">
        <v>790.0</v>
      </c>
      <c r="K87" s="10">
        <f t="shared" si="1"/>
        <v>7</v>
      </c>
      <c r="L87" s="11"/>
      <c r="M87" s="12">
        <v>86.0</v>
      </c>
      <c r="N87" s="12">
        <f t="shared" si="7"/>
        <v>1</v>
      </c>
      <c r="O87" s="12">
        <f t="shared" si="8"/>
        <v>465</v>
      </c>
      <c r="P87" s="14">
        <f t="shared" si="2"/>
        <v>7</v>
      </c>
      <c r="Q87" s="15">
        <f t="shared" si="9"/>
        <v>472</v>
      </c>
      <c r="R87" s="14">
        <f t="shared" si="10"/>
        <v>7</v>
      </c>
      <c r="S87" s="15">
        <f t="shared" si="3"/>
        <v>479</v>
      </c>
      <c r="T87" s="15">
        <f t="shared" si="4"/>
        <v>14</v>
      </c>
      <c r="U87" s="15">
        <f t="shared" si="11"/>
        <v>0</v>
      </c>
      <c r="V87" s="16">
        <f t="shared" si="5"/>
        <v>1</v>
      </c>
    </row>
    <row r="88">
      <c r="A88" s="29"/>
      <c r="B88" s="7"/>
      <c r="C88" s="7"/>
      <c r="D88" s="7"/>
      <c r="E88" s="7"/>
      <c r="F88" s="8">
        <v>87.0</v>
      </c>
      <c r="G88" s="10">
        <v>549.0</v>
      </c>
      <c r="H88" s="10">
        <f t="shared" si="6"/>
        <v>6</v>
      </c>
      <c r="I88" s="8">
        <v>87.0</v>
      </c>
      <c r="J88" s="10">
        <v>814.0</v>
      </c>
      <c r="K88" s="10">
        <f t="shared" si="1"/>
        <v>7</v>
      </c>
      <c r="L88" s="11"/>
      <c r="M88" s="12">
        <v>87.0</v>
      </c>
      <c r="N88" s="12">
        <f t="shared" si="7"/>
        <v>6</v>
      </c>
      <c r="O88" s="12">
        <f t="shared" si="8"/>
        <v>471</v>
      </c>
      <c r="P88" s="14">
        <f t="shared" si="2"/>
        <v>7</v>
      </c>
      <c r="Q88" s="15">
        <f t="shared" si="9"/>
        <v>479</v>
      </c>
      <c r="R88" s="14">
        <f t="shared" si="10"/>
        <v>8</v>
      </c>
      <c r="S88" s="15">
        <f t="shared" si="3"/>
        <v>486</v>
      </c>
      <c r="T88" s="15">
        <f t="shared" si="4"/>
        <v>15</v>
      </c>
      <c r="U88" s="15">
        <f t="shared" si="11"/>
        <v>0</v>
      </c>
      <c r="V88" s="16">
        <f t="shared" si="5"/>
        <v>1</v>
      </c>
    </row>
    <row r="89">
      <c r="A89" s="29"/>
      <c r="B89" s="7"/>
      <c r="C89" s="7"/>
      <c r="D89" s="7"/>
      <c r="E89" s="7"/>
      <c r="F89" s="8">
        <v>88.0</v>
      </c>
      <c r="G89" s="10">
        <v>363.0</v>
      </c>
      <c r="H89" s="10">
        <f t="shared" si="6"/>
        <v>4</v>
      </c>
      <c r="I89" s="8">
        <v>88.0</v>
      </c>
      <c r="J89" s="10">
        <v>376.0</v>
      </c>
      <c r="K89" s="10">
        <f t="shared" si="1"/>
        <v>4</v>
      </c>
      <c r="L89" s="11"/>
      <c r="M89" s="12">
        <v>88.0</v>
      </c>
      <c r="N89" s="12">
        <f t="shared" si="7"/>
        <v>4</v>
      </c>
      <c r="O89" s="12">
        <f t="shared" si="8"/>
        <v>475</v>
      </c>
      <c r="P89" s="14">
        <f t="shared" si="2"/>
        <v>4</v>
      </c>
      <c r="Q89" s="15">
        <f t="shared" si="9"/>
        <v>486</v>
      </c>
      <c r="R89" s="14">
        <f t="shared" si="10"/>
        <v>11</v>
      </c>
      <c r="S89" s="15">
        <f t="shared" si="3"/>
        <v>490</v>
      </c>
      <c r="T89" s="15">
        <f t="shared" si="4"/>
        <v>15</v>
      </c>
      <c r="U89" s="15">
        <f t="shared" si="11"/>
        <v>0</v>
      </c>
      <c r="V89" s="16">
        <f t="shared" si="5"/>
        <v>1</v>
      </c>
    </row>
    <row r="90">
      <c r="A90" s="29"/>
      <c r="B90" s="7"/>
      <c r="C90" s="7"/>
      <c r="D90" s="7"/>
      <c r="E90" s="7"/>
      <c r="F90" s="8">
        <v>89.0</v>
      </c>
      <c r="G90" s="10">
        <v>564.0</v>
      </c>
      <c r="H90" s="10">
        <f t="shared" si="6"/>
        <v>6</v>
      </c>
      <c r="I90" s="8">
        <v>89.0</v>
      </c>
      <c r="J90" s="10">
        <v>974.0</v>
      </c>
      <c r="K90" s="10">
        <f t="shared" si="1"/>
        <v>8</v>
      </c>
      <c r="L90" s="11"/>
      <c r="M90" s="12">
        <v>89.0</v>
      </c>
      <c r="N90" s="12">
        <f t="shared" si="7"/>
        <v>6</v>
      </c>
      <c r="O90" s="12">
        <f t="shared" si="8"/>
        <v>481</v>
      </c>
      <c r="P90" s="14">
        <f t="shared" si="2"/>
        <v>8</v>
      </c>
      <c r="Q90" s="15">
        <f t="shared" si="9"/>
        <v>490</v>
      </c>
      <c r="R90" s="14">
        <f t="shared" si="10"/>
        <v>9</v>
      </c>
      <c r="S90" s="15">
        <f t="shared" si="3"/>
        <v>498</v>
      </c>
      <c r="T90" s="15">
        <f t="shared" si="4"/>
        <v>17</v>
      </c>
      <c r="U90" s="15">
        <f t="shared" si="11"/>
        <v>0</v>
      </c>
      <c r="V90" s="16">
        <f t="shared" si="5"/>
        <v>1</v>
      </c>
    </row>
    <row r="91">
      <c r="A91" s="29"/>
      <c r="B91" s="7"/>
      <c r="C91" s="7"/>
      <c r="D91" s="7"/>
      <c r="E91" s="7"/>
      <c r="F91" s="8">
        <v>90.0</v>
      </c>
      <c r="G91" s="10">
        <v>807.0</v>
      </c>
      <c r="H91" s="10">
        <f t="shared" si="6"/>
        <v>9</v>
      </c>
      <c r="I91" s="8">
        <v>90.0</v>
      </c>
      <c r="J91" s="10">
        <v>183.0</v>
      </c>
      <c r="K91" s="10">
        <f t="shared" si="1"/>
        <v>2</v>
      </c>
      <c r="L91" s="11"/>
      <c r="M91" s="12">
        <v>90.0</v>
      </c>
      <c r="N91" s="12">
        <f t="shared" si="7"/>
        <v>9</v>
      </c>
      <c r="O91" s="12">
        <f t="shared" si="8"/>
        <v>490</v>
      </c>
      <c r="P91" s="14">
        <f t="shared" si="2"/>
        <v>2</v>
      </c>
      <c r="Q91" s="15">
        <f t="shared" si="9"/>
        <v>498</v>
      </c>
      <c r="R91" s="14">
        <f t="shared" si="10"/>
        <v>8</v>
      </c>
      <c r="S91" s="15">
        <f t="shared" si="3"/>
        <v>500</v>
      </c>
      <c r="T91" s="15">
        <f t="shared" si="4"/>
        <v>10</v>
      </c>
      <c r="U91" s="15">
        <f t="shared" si="11"/>
        <v>0</v>
      </c>
      <c r="V91" s="16">
        <f t="shared" si="5"/>
        <v>1</v>
      </c>
    </row>
    <row r="92">
      <c r="A92" s="29"/>
      <c r="B92" s="7"/>
      <c r="C92" s="7"/>
      <c r="D92" s="7"/>
      <c r="E92" s="7"/>
      <c r="F92" s="8">
        <v>91.0</v>
      </c>
      <c r="G92" s="10">
        <v>270.0</v>
      </c>
      <c r="H92" s="10">
        <f t="shared" si="6"/>
        <v>3</v>
      </c>
      <c r="I92" s="8">
        <v>91.0</v>
      </c>
      <c r="J92" s="10">
        <v>189.0</v>
      </c>
      <c r="K92" s="10">
        <f t="shared" si="1"/>
        <v>2</v>
      </c>
      <c r="L92" s="11"/>
      <c r="M92" s="12">
        <v>91.0</v>
      </c>
      <c r="N92" s="12">
        <f t="shared" si="7"/>
        <v>3</v>
      </c>
      <c r="O92" s="12">
        <f t="shared" si="8"/>
        <v>493</v>
      </c>
      <c r="P92" s="14">
        <f t="shared" si="2"/>
        <v>2</v>
      </c>
      <c r="Q92" s="15">
        <f t="shared" si="9"/>
        <v>500</v>
      </c>
      <c r="R92" s="14">
        <f t="shared" si="10"/>
        <v>7</v>
      </c>
      <c r="S92" s="15">
        <f t="shared" si="3"/>
        <v>502</v>
      </c>
      <c r="T92" s="15">
        <f t="shared" si="4"/>
        <v>9</v>
      </c>
      <c r="U92" s="15">
        <f t="shared" si="11"/>
        <v>0</v>
      </c>
      <c r="V92" s="16">
        <f t="shared" si="5"/>
        <v>1</v>
      </c>
    </row>
    <row r="93">
      <c r="A93" s="29"/>
      <c r="B93" s="7"/>
      <c r="C93" s="7"/>
      <c r="D93" s="7"/>
      <c r="E93" s="7"/>
      <c r="F93" s="8">
        <v>92.0</v>
      </c>
      <c r="G93" s="10">
        <v>409.0</v>
      </c>
      <c r="H93" s="10">
        <f t="shared" si="6"/>
        <v>5</v>
      </c>
      <c r="I93" s="8">
        <v>92.0</v>
      </c>
      <c r="J93" s="10">
        <v>730.0</v>
      </c>
      <c r="K93" s="10">
        <f t="shared" si="1"/>
        <v>6</v>
      </c>
      <c r="L93" s="11"/>
      <c r="M93" s="12">
        <v>92.0</v>
      </c>
      <c r="N93" s="12">
        <f t="shared" si="7"/>
        <v>5</v>
      </c>
      <c r="O93" s="12">
        <f t="shared" si="8"/>
        <v>498</v>
      </c>
      <c r="P93" s="14">
        <f t="shared" si="2"/>
        <v>6</v>
      </c>
      <c r="Q93" s="15">
        <f t="shared" si="9"/>
        <v>502</v>
      </c>
      <c r="R93" s="14">
        <f t="shared" si="10"/>
        <v>4</v>
      </c>
      <c r="S93" s="15">
        <f t="shared" si="3"/>
        <v>508</v>
      </c>
      <c r="T93" s="15">
        <f t="shared" si="4"/>
        <v>10</v>
      </c>
      <c r="U93" s="15">
        <f t="shared" si="11"/>
        <v>0</v>
      </c>
      <c r="V93" s="16">
        <f t="shared" si="5"/>
        <v>1</v>
      </c>
    </row>
    <row r="94">
      <c r="A94" s="29"/>
      <c r="B94" s="7"/>
      <c r="C94" s="7"/>
      <c r="D94" s="7"/>
      <c r="E94" s="7"/>
      <c r="F94" s="8">
        <v>93.0</v>
      </c>
      <c r="G94" s="10">
        <v>462.0</v>
      </c>
      <c r="H94" s="10">
        <f t="shared" si="6"/>
        <v>5</v>
      </c>
      <c r="I94" s="8">
        <v>93.0</v>
      </c>
      <c r="J94" s="10">
        <v>521.0</v>
      </c>
      <c r="K94" s="10">
        <f t="shared" si="1"/>
        <v>5</v>
      </c>
      <c r="L94" s="11"/>
      <c r="M94" s="12">
        <v>93.0</v>
      </c>
      <c r="N94" s="12">
        <f t="shared" si="7"/>
        <v>5</v>
      </c>
      <c r="O94" s="12">
        <f t="shared" si="8"/>
        <v>503</v>
      </c>
      <c r="P94" s="14">
        <f t="shared" si="2"/>
        <v>5</v>
      </c>
      <c r="Q94" s="15">
        <f t="shared" si="9"/>
        <v>508</v>
      </c>
      <c r="R94" s="14">
        <f t="shared" si="10"/>
        <v>5</v>
      </c>
      <c r="S94" s="15">
        <f t="shared" si="3"/>
        <v>513</v>
      </c>
      <c r="T94" s="15">
        <f t="shared" si="4"/>
        <v>10</v>
      </c>
      <c r="U94" s="15">
        <f t="shared" si="11"/>
        <v>0</v>
      </c>
      <c r="V94" s="16">
        <f t="shared" si="5"/>
        <v>1</v>
      </c>
    </row>
    <row r="95">
      <c r="A95" s="29"/>
      <c r="B95" s="7"/>
      <c r="C95" s="7"/>
      <c r="D95" s="7"/>
      <c r="E95" s="7"/>
      <c r="F95" s="8">
        <v>94.0</v>
      </c>
      <c r="G95" s="10">
        <v>361.0</v>
      </c>
      <c r="H95" s="10">
        <f t="shared" si="6"/>
        <v>4</v>
      </c>
      <c r="I95" s="8">
        <v>94.0</v>
      </c>
      <c r="J95" s="10">
        <v>355.0</v>
      </c>
      <c r="K95" s="10">
        <f t="shared" si="1"/>
        <v>3</v>
      </c>
      <c r="L95" s="11"/>
      <c r="M95" s="12">
        <v>94.0</v>
      </c>
      <c r="N95" s="12">
        <f t="shared" si="7"/>
        <v>4</v>
      </c>
      <c r="O95" s="12">
        <f t="shared" si="8"/>
        <v>507</v>
      </c>
      <c r="P95" s="14">
        <f t="shared" si="2"/>
        <v>3</v>
      </c>
      <c r="Q95" s="15">
        <f t="shared" si="9"/>
        <v>513</v>
      </c>
      <c r="R95" s="14">
        <f t="shared" si="10"/>
        <v>6</v>
      </c>
      <c r="S95" s="15">
        <f t="shared" si="3"/>
        <v>516</v>
      </c>
      <c r="T95" s="15">
        <f t="shared" si="4"/>
        <v>9</v>
      </c>
      <c r="U95" s="15">
        <f t="shared" si="11"/>
        <v>0</v>
      </c>
      <c r="V95" s="16">
        <f t="shared" si="5"/>
        <v>1</v>
      </c>
    </row>
    <row r="96">
      <c r="A96" s="29"/>
      <c r="B96" s="7"/>
      <c r="C96" s="7"/>
      <c r="D96" s="7"/>
      <c r="E96" s="7"/>
      <c r="F96" s="8">
        <v>95.0</v>
      </c>
      <c r="G96" s="10">
        <v>132.0</v>
      </c>
      <c r="H96" s="10">
        <f t="shared" si="6"/>
        <v>2</v>
      </c>
      <c r="I96" s="8">
        <v>95.0</v>
      </c>
      <c r="J96" s="10">
        <v>325.0</v>
      </c>
      <c r="K96" s="10">
        <f t="shared" si="1"/>
        <v>3</v>
      </c>
      <c r="L96" s="11"/>
      <c r="M96" s="12">
        <v>95.0</v>
      </c>
      <c r="N96" s="12">
        <f t="shared" si="7"/>
        <v>2</v>
      </c>
      <c r="O96" s="12">
        <f t="shared" si="8"/>
        <v>509</v>
      </c>
      <c r="P96" s="14">
        <f t="shared" si="2"/>
        <v>3</v>
      </c>
      <c r="Q96" s="15">
        <f t="shared" si="9"/>
        <v>516</v>
      </c>
      <c r="R96" s="14">
        <f t="shared" si="10"/>
        <v>7</v>
      </c>
      <c r="S96" s="15">
        <f t="shared" si="3"/>
        <v>519</v>
      </c>
      <c r="T96" s="15">
        <f t="shared" si="4"/>
        <v>10</v>
      </c>
      <c r="U96" s="15">
        <f t="shared" si="11"/>
        <v>0</v>
      </c>
      <c r="V96" s="16">
        <f t="shared" si="5"/>
        <v>1</v>
      </c>
    </row>
    <row r="97">
      <c r="A97" s="29"/>
      <c r="B97" s="7"/>
      <c r="C97" s="7"/>
      <c r="D97" s="7"/>
      <c r="E97" s="7"/>
      <c r="F97" s="8">
        <v>96.0</v>
      </c>
      <c r="G97" s="10">
        <v>263.0</v>
      </c>
      <c r="H97" s="10">
        <f t="shared" si="6"/>
        <v>3</v>
      </c>
      <c r="I97" s="8">
        <v>96.0</v>
      </c>
      <c r="J97" s="10">
        <v>316.0</v>
      </c>
      <c r="K97" s="10">
        <f t="shared" si="1"/>
        <v>3</v>
      </c>
      <c r="L97" s="11"/>
      <c r="M97" s="12">
        <v>96.0</v>
      </c>
      <c r="N97" s="12">
        <f t="shared" si="7"/>
        <v>3</v>
      </c>
      <c r="O97" s="12">
        <f t="shared" si="8"/>
        <v>512</v>
      </c>
      <c r="P97" s="14">
        <f t="shared" si="2"/>
        <v>3</v>
      </c>
      <c r="Q97" s="15">
        <f t="shared" si="9"/>
        <v>519</v>
      </c>
      <c r="R97" s="14">
        <f t="shared" si="10"/>
        <v>7</v>
      </c>
      <c r="S97" s="15">
        <f t="shared" si="3"/>
        <v>522</v>
      </c>
      <c r="T97" s="15">
        <f t="shared" si="4"/>
        <v>10</v>
      </c>
      <c r="U97" s="15">
        <f t="shared" si="11"/>
        <v>0</v>
      </c>
      <c r="V97" s="16">
        <f t="shared" si="5"/>
        <v>1</v>
      </c>
    </row>
    <row r="98">
      <c r="A98" s="29"/>
      <c r="B98" s="7"/>
      <c r="C98" s="7"/>
      <c r="D98" s="7"/>
      <c r="E98" s="7"/>
      <c r="F98" s="8">
        <v>97.0</v>
      </c>
      <c r="G98" s="10">
        <v>960.0</v>
      </c>
      <c r="H98" s="10">
        <f t="shared" si="6"/>
        <v>10</v>
      </c>
      <c r="I98" s="8">
        <v>97.0</v>
      </c>
      <c r="J98" s="10">
        <v>278.0</v>
      </c>
      <c r="K98" s="10">
        <f t="shared" si="1"/>
        <v>3</v>
      </c>
      <c r="L98" s="11"/>
      <c r="M98" s="12">
        <v>97.0</v>
      </c>
      <c r="N98" s="12">
        <f t="shared" si="7"/>
        <v>10</v>
      </c>
      <c r="O98" s="12">
        <f t="shared" si="8"/>
        <v>522</v>
      </c>
      <c r="P98" s="14">
        <f t="shared" si="2"/>
        <v>3</v>
      </c>
      <c r="Q98" s="15">
        <f t="shared" si="9"/>
        <v>522</v>
      </c>
      <c r="R98" s="14">
        <f t="shared" si="10"/>
        <v>0</v>
      </c>
      <c r="S98" s="15">
        <f t="shared" si="3"/>
        <v>525</v>
      </c>
      <c r="T98" s="15">
        <f t="shared" si="4"/>
        <v>3</v>
      </c>
      <c r="U98" s="15">
        <f t="shared" si="11"/>
        <v>0</v>
      </c>
      <c r="V98" s="16">
        <f t="shared" si="5"/>
        <v>0</v>
      </c>
    </row>
    <row r="99">
      <c r="A99" s="29"/>
      <c r="B99" s="7"/>
      <c r="C99" s="7"/>
      <c r="D99" s="7"/>
      <c r="E99" s="7"/>
      <c r="F99" s="8">
        <v>98.0</v>
      </c>
      <c r="G99" s="10">
        <v>848.0</v>
      </c>
      <c r="H99" s="10">
        <f t="shared" si="6"/>
        <v>9</v>
      </c>
      <c r="I99" s="8">
        <v>98.0</v>
      </c>
      <c r="J99" s="10">
        <v>773.0</v>
      </c>
      <c r="K99" s="10">
        <f t="shared" si="1"/>
        <v>7</v>
      </c>
      <c r="L99" s="11"/>
      <c r="M99" s="12">
        <v>98.0</v>
      </c>
      <c r="N99" s="12">
        <f t="shared" si="7"/>
        <v>9</v>
      </c>
      <c r="O99" s="12">
        <f t="shared" si="8"/>
        <v>531</v>
      </c>
      <c r="P99" s="14">
        <f t="shared" si="2"/>
        <v>7</v>
      </c>
      <c r="Q99" s="15">
        <f t="shared" si="9"/>
        <v>531</v>
      </c>
      <c r="R99" s="14">
        <f t="shared" si="10"/>
        <v>0</v>
      </c>
      <c r="S99" s="15">
        <f t="shared" si="3"/>
        <v>538</v>
      </c>
      <c r="T99" s="15">
        <f t="shared" si="4"/>
        <v>7</v>
      </c>
      <c r="U99" s="15">
        <f t="shared" si="11"/>
        <v>6</v>
      </c>
      <c r="V99" s="16">
        <f t="shared" si="5"/>
        <v>0</v>
      </c>
    </row>
    <row r="100">
      <c r="A100" s="29"/>
      <c r="B100" s="7"/>
      <c r="C100" s="7"/>
      <c r="D100" s="7"/>
      <c r="E100" s="7"/>
      <c r="F100" s="8">
        <v>99.0</v>
      </c>
      <c r="G100" s="10">
        <v>653.0</v>
      </c>
      <c r="H100" s="10">
        <f t="shared" si="6"/>
        <v>7</v>
      </c>
      <c r="I100" s="8">
        <v>99.0</v>
      </c>
      <c r="J100" s="10">
        <v>589.0</v>
      </c>
      <c r="K100" s="10">
        <f t="shared" si="1"/>
        <v>5</v>
      </c>
      <c r="L100" s="11"/>
      <c r="M100" s="12">
        <v>99.0</v>
      </c>
      <c r="N100" s="12">
        <f t="shared" si="7"/>
        <v>7</v>
      </c>
      <c r="O100" s="12">
        <f t="shared" si="8"/>
        <v>538</v>
      </c>
      <c r="P100" s="14">
        <f t="shared" si="2"/>
        <v>5</v>
      </c>
      <c r="Q100" s="15">
        <f t="shared" si="9"/>
        <v>538</v>
      </c>
      <c r="R100" s="14">
        <f t="shared" si="10"/>
        <v>0</v>
      </c>
      <c r="S100" s="15">
        <f t="shared" si="3"/>
        <v>543</v>
      </c>
      <c r="T100" s="15">
        <f t="shared" si="4"/>
        <v>5</v>
      </c>
      <c r="U100" s="15">
        <f t="shared" si="11"/>
        <v>0</v>
      </c>
      <c r="V100" s="16">
        <f t="shared" si="5"/>
        <v>0</v>
      </c>
    </row>
    <row r="101">
      <c r="A101" s="29"/>
      <c r="B101" s="7"/>
      <c r="C101" s="7"/>
      <c r="D101" s="7"/>
      <c r="E101" s="7"/>
      <c r="F101" s="8">
        <v>100.0</v>
      </c>
      <c r="G101" s="10">
        <v>123.0</v>
      </c>
      <c r="H101" s="10">
        <f t="shared" si="6"/>
        <v>2</v>
      </c>
      <c r="I101" s="8">
        <v>100.0</v>
      </c>
      <c r="J101" s="10">
        <v>612.0</v>
      </c>
      <c r="K101" s="10">
        <f t="shared" si="1"/>
        <v>5</v>
      </c>
      <c r="L101" s="11"/>
      <c r="M101" s="12">
        <v>100.0</v>
      </c>
      <c r="N101" s="12">
        <f t="shared" si="7"/>
        <v>2</v>
      </c>
      <c r="O101" s="12">
        <f t="shared" si="8"/>
        <v>540</v>
      </c>
      <c r="P101" s="14">
        <f t="shared" si="2"/>
        <v>5</v>
      </c>
      <c r="Q101" s="15">
        <f t="shared" si="9"/>
        <v>543</v>
      </c>
      <c r="R101" s="14">
        <f t="shared" si="10"/>
        <v>3</v>
      </c>
      <c r="S101" s="15">
        <f t="shared" si="3"/>
        <v>548</v>
      </c>
      <c r="T101" s="15">
        <f t="shared" si="4"/>
        <v>8</v>
      </c>
      <c r="U101" s="15">
        <f t="shared" si="11"/>
        <v>0</v>
      </c>
      <c r="V101" s="16">
        <f t="shared" si="5"/>
        <v>1</v>
      </c>
    </row>
    <row r="102">
      <c r="A102" s="30"/>
      <c r="B102" s="7"/>
      <c r="C102" s="7"/>
      <c r="D102" s="7"/>
      <c r="E102" s="7"/>
      <c r="F102" s="31"/>
      <c r="G102" s="11"/>
      <c r="H102" s="11"/>
      <c r="I102" s="31"/>
      <c r="J102" s="11"/>
      <c r="K102" s="11"/>
      <c r="L102" s="11"/>
      <c r="M102" s="4" t="s">
        <v>47</v>
      </c>
      <c r="N102" s="32">
        <f t="shared" ref="N102:P102" si="14">SUM(N2:N101)</f>
        <v>540</v>
      </c>
      <c r="O102" s="32">
        <f t="shared" si="14"/>
        <v>27133</v>
      </c>
      <c r="P102" s="33">
        <f t="shared" si="14"/>
        <v>471</v>
      </c>
      <c r="Q102" s="32">
        <f t="shared" ref="Q102:U102" si="15">SUM(Q1:Q101)</f>
        <v>27611</v>
      </c>
      <c r="R102" s="32">
        <f t="shared" si="15"/>
        <v>478</v>
      </c>
      <c r="S102" s="3">
        <f t="shared" si="15"/>
        <v>28082</v>
      </c>
      <c r="T102" s="3">
        <f t="shared" si="15"/>
        <v>949</v>
      </c>
      <c r="U102" s="3">
        <f t="shared" si="15"/>
        <v>77</v>
      </c>
      <c r="V102" s="16">
        <f>SUM(V3:V101)</f>
        <v>71</v>
      </c>
    </row>
    <row r="103">
      <c r="D103" s="7"/>
      <c r="E103" s="7"/>
      <c r="F103" s="7"/>
      <c r="M103" s="34" t="s">
        <v>48</v>
      </c>
      <c r="N103" s="35">
        <f t="shared" ref="N103:U103" si="16">MAX(N2:N101)</f>
        <v>10</v>
      </c>
      <c r="O103" s="35">
        <f t="shared" si="16"/>
        <v>540</v>
      </c>
      <c r="P103" s="36">
        <f t="shared" si="16"/>
        <v>8</v>
      </c>
      <c r="Q103" s="35">
        <f t="shared" si="16"/>
        <v>543</v>
      </c>
      <c r="R103" s="35">
        <f t="shared" si="16"/>
        <v>25</v>
      </c>
      <c r="S103" s="37">
        <f t="shared" si="16"/>
        <v>548</v>
      </c>
      <c r="T103" s="37">
        <f t="shared" si="16"/>
        <v>31</v>
      </c>
      <c r="U103" s="37">
        <f t="shared" si="16"/>
        <v>7</v>
      </c>
      <c r="V103" s="16"/>
      <c r="W103" s="7"/>
      <c r="X103" s="7"/>
      <c r="Y103" s="7"/>
      <c r="Z103" s="7"/>
    </row>
    <row r="104">
      <c r="D104" s="7"/>
      <c r="E104" s="7"/>
      <c r="F104" s="29"/>
    </row>
    <row r="105">
      <c r="D105" s="7"/>
      <c r="E105" s="7"/>
      <c r="F105" s="29"/>
    </row>
    <row r="106">
      <c r="D106" s="7"/>
      <c r="E106" s="7"/>
      <c r="F106" s="29"/>
    </row>
    <row r="107">
      <c r="D107" s="7"/>
      <c r="E107" s="7"/>
      <c r="F107" s="29"/>
    </row>
    <row r="108">
      <c r="D108" s="7"/>
      <c r="E108" s="7"/>
      <c r="F108" s="29"/>
    </row>
    <row r="109">
      <c r="D109" s="7"/>
      <c r="E109" s="7"/>
      <c r="F109" s="29"/>
    </row>
    <row r="110">
      <c r="D110" s="7"/>
      <c r="E110" s="7"/>
      <c r="F110" s="29"/>
    </row>
    <row r="111">
      <c r="D111" s="7"/>
      <c r="E111" s="7"/>
      <c r="F111" s="29"/>
    </row>
    <row r="112">
      <c r="D112" s="7"/>
      <c r="E112" s="7"/>
      <c r="F112" s="29"/>
    </row>
    <row r="113">
      <c r="D113" s="7"/>
      <c r="E113" s="7"/>
      <c r="F113" s="29"/>
    </row>
    <row r="114">
      <c r="D114" s="7"/>
      <c r="E114" s="7"/>
      <c r="F114" s="7"/>
    </row>
    <row r="115">
      <c r="D115" s="7"/>
      <c r="E115" s="7"/>
      <c r="F115" s="7"/>
    </row>
    <row r="116">
      <c r="D116" s="7"/>
      <c r="E116" s="7"/>
      <c r="F116" s="7"/>
    </row>
    <row r="117">
      <c r="D117" s="7"/>
      <c r="E117" s="7"/>
      <c r="F117" s="7"/>
    </row>
    <row r="118">
      <c r="D118" s="7"/>
      <c r="E118" s="7"/>
      <c r="F118" s="7"/>
    </row>
    <row r="119">
      <c r="D119" s="7"/>
      <c r="E119" s="7"/>
      <c r="F119" s="7"/>
    </row>
    <row r="120">
      <c r="D120" s="7"/>
      <c r="E120" s="7"/>
      <c r="F120" s="7"/>
    </row>
    <row r="121">
      <c r="D121" s="7"/>
      <c r="E121" s="7"/>
      <c r="F121" s="7"/>
    </row>
    <row r="122">
      <c r="D122" s="7"/>
      <c r="E122" s="7"/>
      <c r="F122" s="7"/>
    </row>
    <row r="123">
      <c r="D123" s="7"/>
      <c r="E123" s="7"/>
      <c r="F123" s="7"/>
    </row>
    <row r="124">
      <c r="D124" s="7"/>
      <c r="E124" s="7"/>
      <c r="F124" s="7"/>
    </row>
    <row r="125">
      <c r="D125" s="7"/>
      <c r="E125" s="7"/>
      <c r="F125" s="7"/>
    </row>
    <row r="126">
      <c r="D126" s="7"/>
      <c r="E126" s="7"/>
      <c r="F126" s="7"/>
    </row>
    <row r="127">
      <c r="D127" s="7"/>
      <c r="E127" s="7"/>
      <c r="F127" s="7"/>
    </row>
    <row r="128">
      <c r="D128" s="7"/>
      <c r="E128" s="7"/>
      <c r="F128" s="7"/>
    </row>
    <row r="129">
      <c r="D129" s="7"/>
      <c r="E129" s="7"/>
      <c r="F129" s="7"/>
    </row>
    <row r="130">
      <c r="D130" s="7"/>
      <c r="E130" s="7"/>
      <c r="F130" s="7"/>
    </row>
    <row r="131">
      <c r="D131" s="7"/>
      <c r="E131" s="7"/>
      <c r="F131" s="7"/>
    </row>
    <row r="132">
      <c r="D132" s="7"/>
      <c r="E132" s="7"/>
      <c r="F132" s="7"/>
    </row>
    <row r="133">
      <c r="D133" s="7"/>
      <c r="E133" s="7"/>
      <c r="F133" s="7"/>
    </row>
    <row r="134">
      <c r="D134" s="7"/>
      <c r="E134" s="7"/>
      <c r="F134" s="7"/>
    </row>
    <row r="135">
      <c r="D135" s="7"/>
      <c r="E135" s="7"/>
      <c r="F135" s="7"/>
    </row>
    <row r="136">
      <c r="D136" s="7"/>
      <c r="E136" s="7"/>
      <c r="F136" s="7"/>
    </row>
    <row r="137">
      <c r="D137" s="7"/>
      <c r="E137" s="7"/>
      <c r="F137" s="7"/>
    </row>
    <row r="138">
      <c r="D138" s="7"/>
      <c r="E138" s="7"/>
      <c r="F138" s="7"/>
    </row>
    <row r="139">
      <c r="D139" s="7"/>
      <c r="E139" s="7"/>
      <c r="F139" s="7"/>
    </row>
    <row r="140">
      <c r="D140" s="7"/>
      <c r="E140" s="7"/>
      <c r="F140" s="7"/>
    </row>
    <row r="141">
      <c r="D141" s="7"/>
      <c r="E141" s="7"/>
      <c r="F141" s="7"/>
    </row>
    <row r="142">
      <c r="D142" s="7"/>
      <c r="E142" s="7"/>
      <c r="F142" s="7"/>
    </row>
    <row r="143">
      <c r="D143" s="7"/>
      <c r="E143" s="7"/>
      <c r="F143" s="7"/>
    </row>
    <row r="144">
      <c r="D144" s="7"/>
      <c r="E144" s="7"/>
      <c r="F144" s="7"/>
    </row>
    <row r="145">
      <c r="D145" s="7"/>
      <c r="E145" s="7"/>
      <c r="F145" s="7"/>
    </row>
    <row r="146">
      <c r="D146" s="7"/>
      <c r="E146" s="7"/>
      <c r="F146" s="7"/>
    </row>
    <row r="147">
      <c r="D147" s="7"/>
      <c r="E147" s="7"/>
      <c r="F147" s="7"/>
    </row>
    <row r="148">
      <c r="D148" s="7"/>
      <c r="E148" s="7"/>
      <c r="F148" s="7"/>
    </row>
    <row r="149">
      <c r="D149" s="7"/>
      <c r="E149" s="7"/>
      <c r="F149" s="7"/>
    </row>
    <row r="150">
      <c r="D150" s="7"/>
      <c r="E150" s="7"/>
      <c r="F150" s="7"/>
    </row>
    <row r="151">
      <c r="D151" s="7"/>
      <c r="E151" s="7"/>
      <c r="F151" s="7"/>
    </row>
    <row r="152">
      <c r="D152" s="7"/>
      <c r="E152" s="7"/>
      <c r="F152" s="7"/>
    </row>
    <row r="153">
      <c r="D153" s="7"/>
      <c r="E153" s="7"/>
      <c r="F153" s="7"/>
    </row>
    <row r="154">
      <c r="D154" s="7"/>
      <c r="E154" s="7"/>
      <c r="F154" s="7"/>
    </row>
    <row r="155">
      <c r="D155" s="7"/>
      <c r="E155" s="7"/>
      <c r="F155" s="7"/>
    </row>
    <row r="156">
      <c r="D156" s="7"/>
      <c r="E156" s="7"/>
      <c r="F156" s="7"/>
    </row>
    <row r="157">
      <c r="D157" s="7"/>
      <c r="E157" s="7"/>
      <c r="F157" s="7"/>
    </row>
    <row r="158">
      <c r="D158" s="7"/>
      <c r="E158" s="7"/>
      <c r="F158" s="7"/>
    </row>
    <row r="159">
      <c r="D159" s="7"/>
      <c r="E159" s="7"/>
      <c r="F159" s="7"/>
    </row>
    <row r="160">
      <c r="D160" s="7"/>
      <c r="E160" s="7"/>
      <c r="F160" s="7"/>
    </row>
    <row r="161">
      <c r="D161" s="7"/>
      <c r="E161" s="7"/>
      <c r="F161" s="7"/>
    </row>
    <row r="162">
      <c r="D162" s="7"/>
      <c r="E162" s="7"/>
      <c r="F162" s="7"/>
    </row>
    <row r="163">
      <c r="D163" s="7"/>
      <c r="E163" s="7"/>
      <c r="F163" s="7"/>
    </row>
    <row r="164">
      <c r="D164" s="7"/>
      <c r="E164" s="7"/>
      <c r="F164" s="7"/>
    </row>
    <row r="165">
      <c r="D165" s="7"/>
      <c r="E165" s="7"/>
      <c r="F165" s="7"/>
    </row>
    <row r="166">
      <c r="D166" s="7"/>
      <c r="E166" s="7"/>
      <c r="F166" s="7"/>
    </row>
    <row r="167">
      <c r="D167" s="7"/>
      <c r="E167" s="7"/>
      <c r="F167" s="7"/>
    </row>
    <row r="168">
      <c r="D168" s="7"/>
      <c r="E168" s="7"/>
      <c r="F168" s="7"/>
    </row>
    <row r="169">
      <c r="D169" s="7"/>
      <c r="E169" s="7"/>
      <c r="F169" s="7"/>
    </row>
    <row r="170">
      <c r="D170" s="7"/>
      <c r="E170" s="7"/>
      <c r="F170" s="7"/>
    </row>
    <row r="171">
      <c r="D171" s="7"/>
      <c r="E171" s="7"/>
      <c r="F171" s="7"/>
    </row>
    <row r="172">
      <c r="D172" s="7"/>
      <c r="E172" s="7"/>
      <c r="F172" s="7"/>
    </row>
    <row r="173">
      <c r="D173" s="7"/>
      <c r="E173" s="7"/>
      <c r="F173" s="7"/>
    </row>
    <row r="174">
      <c r="D174" s="7"/>
      <c r="E174" s="7"/>
      <c r="F174" s="7"/>
    </row>
    <row r="175">
      <c r="D175" s="7"/>
      <c r="E175" s="7"/>
      <c r="F175" s="7"/>
    </row>
    <row r="176">
      <c r="D176" s="7"/>
      <c r="E176" s="7"/>
      <c r="F176" s="7"/>
    </row>
    <row r="177">
      <c r="D177" s="7"/>
      <c r="E177" s="7"/>
      <c r="F177" s="7"/>
    </row>
    <row r="178">
      <c r="D178" s="7"/>
      <c r="E178" s="7"/>
      <c r="F178" s="7"/>
    </row>
    <row r="179">
      <c r="D179" s="7"/>
      <c r="E179" s="7"/>
      <c r="F179" s="7"/>
    </row>
    <row r="180">
      <c r="D180" s="7"/>
      <c r="E180" s="7"/>
      <c r="F180" s="7"/>
    </row>
    <row r="181">
      <c r="D181" s="7"/>
      <c r="E181" s="7"/>
      <c r="F181" s="7"/>
    </row>
    <row r="182">
      <c r="D182" s="7"/>
      <c r="E182" s="7"/>
      <c r="F182" s="7"/>
    </row>
    <row r="183">
      <c r="D183" s="7"/>
      <c r="E183" s="7"/>
      <c r="F183" s="7"/>
    </row>
    <row r="184">
      <c r="D184" s="7"/>
      <c r="E184" s="7"/>
      <c r="F184" s="7"/>
    </row>
    <row r="185">
      <c r="D185" s="7"/>
      <c r="E185" s="7"/>
      <c r="F185" s="7"/>
    </row>
    <row r="186">
      <c r="D186" s="7"/>
      <c r="E186" s="7"/>
      <c r="F186" s="7"/>
    </row>
    <row r="187">
      <c r="D187" s="7"/>
      <c r="E187" s="7"/>
      <c r="F187" s="7"/>
    </row>
    <row r="188">
      <c r="D188" s="7"/>
      <c r="E188" s="7"/>
      <c r="F188" s="7"/>
    </row>
    <row r="189">
      <c r="D189" s="7"/>
      <c r="E189" s="7"/>
      <c r="F189" s="7"/>
    </row>
    <row r="190">
      <c r="D190" s="7"/>
      <c r="E190" s="7"/>
      <c r="F190" s="7"/>
    </row>
    <row r="191">
      <c r="D191" s="7"/>
      <c r="E191" s="7"/>
      <c r="F191" s="7"/>
    </row>
    <row r="192">
      <c r="D192" s="7"/>
      <c r="E192" s="7"/>
      <c r="F192" s="7"/>
    </row>
    <row r="193">
      <c r="D193" s="7"/>
      <c r="E193" s="7"/>
      <c r="F193" s="7"/>
    </row>
    <row r="194">
      <c r="D194" s="7"/>
      <c r="E194" s="7"/>
      <c r="F194" s="7"/>
    </row>
    <row r="195">
      <c r="D195" s="7"/>
      <c r="E195" s="7"/>
      <c r="F195" s="7"/>
    </row>
    <row r="196">
      <c r="D196" s="7"/>
      <c r="E196" s="7"/>
      <c r="F196" s="7"/>
    </row>
    <row r="197">
      <c r="D197" s="7"/>
      <c r="E197" s="7"/>
      <c r="F197" s="7"/>
    </row>
    <row r="198">
      <c r="D198" s="7"/>
      <c r="E198" s="7"/>
      <c r="F198" s="7"/>
    </row>
    <row r="199">
      <c r="D199" s="7"/>
      <c r="E199" s="7"/>
      <c r="F199" s="7"/>
    </row>
    <row r="200">
      <c r="D200" s="7"/>
      <c r="E200" s="7"/>
      <c r="F200" s="7"/>
    </row>
    <row r="201">
      <c r="D201" s="7"/>
      <c r="E201" s="7"/>
      <c r="F201" s="7"/>
    </row>
    <row r="202">
      <c r="D202" s="7"/>
      <c r="E202" s="7"/>
      <c r="F202" s="7"/>
    </row>
    <row r="203">
      <c r="D203" s="7"/>
      <c r="E203" s="7"/>
      <c r="F203" s="7"/>
    </row>
    <row r="204">
      <c r="D204" s="7"/>
      <c r="E204" s="7"/>
      <c r="F204" s="7"/>
    </row>
    <row r="205">
      <c r="D205" s="7"/>
      <c r="E205" s="7"/>
      <c r="F205" s="7"/>
    </row>
    <row r="206">
      <c r="D206" s="7"/>
      <c r="E206" s="7"/>
      <c r="F206" s="7"/>
    </row>
    <row r="207">
      <c r="D207" s="7"/>
      <c r="E207" s="7"/>
      <c r="F207" s="7"/>
    </row>
    <row r="208">
      <c r="D208" s="7"/>
      <c r="E208" s="7"/>
      <c r="F208" s="7"/>
    </row>
    <row r="209">
      <c r="D209" s="7"/>
      <c r="E209" s="7"/>
      <c r="F209" s="7"/>
    </row>
    <row r="210">
      <c r="D210" s="7"/>
      <c r="E210" s="7"/>
      <c r="F210" s="7"/>
    </row>
    <row r="211">
      <c r="D211" s="7"/>
      <c r="E211" s="7"/>
      <c r="F211" s="7"/>
    </row>
    <row r="212">
      <c r="D212" s="7"/>
      <c r="E212" s="7"/>
      <c r="F212" s="7"/>
    </row>
    <row r="213">
      <c r="D213" s="7"/>
      <c r="E213" s="7"/>
      <c r="F213" s="7"/>
    </row>
    <row r="214">
      <c r="D214" s="7"/>
      <c r="E214" s="7"/>
      <c r="F214" s="7"/>
    </row>
    <row r="215">
      <c r="D215" s="7"/>
      <c r="E215" s="7"/>
      <c r="F215" s="7"/>
    </row>
    <row r="216">
      <c r="D216" s="7"/>
      <c r="E216" s="7"/>
      <c r="F216" s="7"/>
    </row>
    <row r="217">
      <c r="D217" s="7"/>
      <c r="E217" s="7"/>
      <c r="F217" s="7"/>
    </row>
    <row r="218">
      <c r="D218" s="7"/>
      <c r="E218" s="7"/>
      <c r="F218" s="7"/>
    </row>
    <row r="219">
      <c r="D219" s="7"/>
      <c r="E219" s="7"/>
      <c r="F219" s="7"/>
    </row>
    <row r="220">
      <c r="D220" s="7"/>
      <c r="E220" s="7"/>
      <c r="F220" s="7"/>
    </row>
    <row r="221">
      <c r="D221" s="7"/>
      <c r="E221" s="7"/>
      <c r="F221" s="7"/>
    </row>
    <row r="222">
      <c r="D222" s="7"/>
      <c r="E222" s="7"/>
      <c r="F222" s="7"/>
    </row>
    <row r="223">
      <c r="D223" s="7"/>
      <c r="E223" s="7"/>
      <c r="F223" s="7"/>
    </row>
    <row r="224">
      <c r="D224" s="7"/>
      <c r="E224" s="7"/>
      <c r="F224" s="7"/>
    </row>
    <row r="225">
      <c r="D225" s="7"/>
      <c r="E225" s="7"/>
      <c r="F225" s="7"/>
    </row>
    <row r="226">
      <c r="D226" s="7"/>
      <c r="E226" s="7"/>
      <c r="F226" s="7"/>
    </row>
    <row r="227">
      <c r="D227" s="7"/>
      <c r="E227" s="7"/>
      <c r="F227" s="7"/>
    </row>
    <row r="228">
      <c r="D228" s="7"/>
      <c r="E228" s="7"/>
      <c r="F228" s="7"/>
    </row>
    <row r="229">
      <c r="D229" s="7"/>
      <c r="E229" s="7"/>
      <c r="F229" s="7"/>
    </row>
    <row r="230">
      <c r="D230" s="7"/>
      <c r="E230" s="7"/>
      <c r="F230" s="7"/>
    </row>
    <row r="231">
      <c r="D231" s="7"/>
      <c r="E231" s="7"/>
      <c r="F231" s="7"/>
    </row>
    <row r="232">
      <c r="D232" s="7"/>
      <c r="E232" s="7"/>
      <c r="F232" s="7"/>
    </row>
    <row r="233">
      <c r="D233" s="7"/>
      <c r="E233" s="7"/>
      <c r="F233" s="7"/>
    </row>
    <row r="234">
      <c r="D234" s="7"/>
      <c r="E234" s="7"/>
      <c r="F234" s="7"/>
    </row>
    <row r="235">
      <c r="D235" s="7"/>
      <c r="E235" s="7"/>
      <c r="F235" s="7"/>
    </row>
    <row r="236">
      <c r="D236" s="7"/>
      <c r="E236" s="7"/>
      <c r="F236" s="7"/>
    </row>
    <row r="237">
      <c r="D237" s="7"/>
      <c r="E237" s="7"/>
      <c r="F237" s="7"/>
    </row>
    <row r="238">
      <c r="D238" s="7"/>
      <c r="E238" s="7"/>
      <c r="F238" s="7"/>
    </row>
    <row r="239">
      <c r="D239" s="7"/>
      <c r="E239" s="7"/>
      <c r="F239" s="7"/>
    </row>
    <row r="240">
      <c r="D240" s="7"/>
      <c r="E240" s="7"/>
      <c r="F240" s="7"/>
    </row>
    <row r="241">
      <c r="D241" s="7"/>
      <c r="E241" s="7"/>
      <c r="F241" s="7"/>
    </row>
    <row r="242">
      <c r="D242" s="7"/>
      <c r="E242" s="7"/>
      <c r="F242" s="7"/>
    </row>
    <row r="243">
      <c r="D243" s="7"/>
      <c r="E243" s="7"/>
      <c r="F243" s="7"/>
    </row>
    <row r="244">
      <c r="D244" s="7"/>
      <c r="E244" s="7"/>
      <c r="F244" s="7"/>
    </row>
    <row r="245">
      <c r="D245" s="7"/>
      <c r="E245" s="7"/>
      <c r="F245" s="7"/>
    </row>
    <row r="246">
      <c r="D246" s="7"/>
      <c r="E246" s="7"/>
      <c r="F246" s="7"/>
    </row>
    <row r="247">
      <c r="D247" s="7"/>
      <c r="E247" s="7"/>
      <c r="F247" s="7"/>
    </row>
    <row r="248">
      <c r="D248" s="7"/>
      <c r="E248" s="7"/>
      <c r="F248" s="7"/>
    </row>
    <row r="249">
      <c r="D249" s="7"/>
      <c r="E249" s="7"/>
      <c r="F249" s="7"/>
    </row>
    <row r="250">
      <c r="D250" s="7"/>
      <c r="E250" s="7"/>
      <c r="F250" s="7"/>
    </row>
    <row r="251">
      <c r="D251" s="7"/>
      <c r="E251" s="7"/>
      <c r="F251" s="7"/>
    </row>
    <row r="252">
      <c r="D252" s="7"/>
      <c r="E252" s="7"/>
      <c r="F252" s="7"/>
    </row>
    <row r="253">
      <c r="D253" s="7"/>
      <c r="E253" s="7"/>
      <c r="F253" s="7"/>
    </row>
    <row r="254">
      <c r="D254" s="7"/>
      <c r="E254" s="7"/>
      <c r="F254" s="7"/>
    </row>
    <row r="255">
      <c r="D255" s="7"/>
      <c r="E255" s="7"/>
      <c r="F255" s="7"/>
    </row>
    <row r="256">
      <c r="D256" s="7"/>
      <c r="E256" s="7"/>
      <c r="F256" s="7"/>
    </row>
    <row r="257">
      <c r="D257" s="7"/>
      <c r="E257" s="7"/>
      <c r="F257" s="7"/>
    </row>
    <row r="258">
      <c r="D258" s="7"/>
      <c r="E258" s="7"/>
      <c r="F258" s="7"/>
    </row>
    <row r="259">
      <c r="D259" s="7"/>
      <c r="E259" s="7"/>
      <c r="F259" s="7"/>
    </row>
    <row r="260">
      <c r="D260" s="7"/>
      <c r="E260" s="7"/>
      <c r="F260" s="7"/>
    </row>
    <row r="261">
      <c r="D261" s="7"/>
      <c r="E261" s="7"/>
      <c r="F261" s="7"/>
    </row>
    <row r="262">
      <c r="D262" s="7"/>
      <c r="E262" s="7"/>
      <c r="F262" s="7"/>
    </row>
    <row r="263">
      <c r="D263" s="7"/>
      <c r="E263" s="7"/>
      <c r="F263" s="7"/>
    </row>
    <row r="264">
      <c r="D264" s="7"/>
      <c r="E264" s="7"/>
      <c r="F264" s="7"/>
    </row>
    <row r="265">
      <c r="D265" s="7"/>
      <c r="E265" s="7"/>
      <c r="F265" s="7"/>
    </row>
    <row r="266">
      <c r="D266" s="7"/>
      <c r="E266" s="7"/>
      <c r="F266" s="7"/>
    </row>
    <row r="267">
      <c r="D267" s="7"/>
      <c r="E267" s="7"/>
      <c r="F267" s="7"/>
    </row>
    <row r="268">
      <c r="D268" s="7"/>
      <c r="E268" s="7"/>
      <c r="F268" s="7"/>
    </row>
    <row r="269">
      <c r="D269" s="7"/>
      <c r="E269" s="7"/>
      <c r="F269" s="7"/>
    </row>
    <row r="270">
      <c r="D270" s="7"/>
      <c r="E270" s="7"/>
      <c r="F270" s="7"/>
    </row>
    <row r="271">
      <c r="D271" s="7"/>
      <c r="E271" s="7"/>
      <c r="F271" s="7"/>
    </row>
    <row r="272">
      <c r="D272" s="7"/>
      <c r="E272" s="7"/>
      <c r="F272" s="7"/>
    </row>
    <row r="273">
      <c r="D273" s="7"/>
      <c r="E273" s="7"/>
      <c r="F273" s="7"/>
    </row>
    <row r="274">
      <c r="D274" s="7"/>
      <c r="E274" s="7"/>
      <c r="F274" s="7"/>
    </row>
    <row r="275">
      <c r="D275" s="7"/>
      <c r="E275" s="7"/>
      <c r="F275" s="7"/>
    </row>
    <row r="276">
      <c r="D276" s="7"/>
      <c r="E276" s="7"/>
      <c r="F276" s="7"/>
    </row>
    <row r="277">
      <c r="D277" s="7"/>
      <c r="E277" s="7"/>
      <c r="F277" s="7"/>
    </row>
    <row r="278">
      <c r="D278" s="7"/>
      <c r="E278" s="7"/>
      <c r="F278" s="7"/>
    </row>
    <row r="279">
      <c r="D279" s="7"/>
      <c r="E279" s="7"/>
      <c r="F279" s="7"/>
    </row>
    <row r="280">
      <c r="D280" s="7"/>
      <c r="E280" s="7"/>
      <c r="F280" s="7"/>
    </row>
    <row r="281">
      <c r="D281" s="7"/>
      <c r="E281" s="7"/>
      <c r="F281" s="7"/>
    </row>
    <row r="282">
      <c r="D282" s="7"/>
      <c r="E282" s="7"/>
      <c r="F282" s="7"/>
    </row>
    <row r="283">
      <c r="D283" s="7"/>
      <c r="E283" s="7"/>
      <c r="F283" s="7"/>
    </row>
    <row r="284">
      <c r="D284" s="7"/>
      <c r="E284" s="7"/>
      <c r="F284" s="7"/>
    </row>
    <row r="285">
      <c r="D285" s="7"/>
      <c r="E285" s="7"/>
      <c r="F285" s="7"/>
    </row>
    <row r="286">
      <c r="D286" s="7"/>
      <c r="E286" s="7"/>
      <c r="F286" s="7"/>
    </row>
    <row r="287">
      <c r="D287" s="7"/>
      <c r="E287" s="7"/>
      <c r="F287" s="7"/>
    </row>
    <row r="288">
      <c r="D288" s="7"/>
      <c r="E288" s="7"/>
      <c r="F288" s="7"/>
    </row>
    <row r="289">
      <c r="D289" s="7"/>
      <c r="E289" s="7"/>
      <c r="F289" s="7"/>
    </row>
    <row r="290">
      <c r="D290" s="7"/>
      <c r="E290" s="7"/>
      <c r="F290" s="7"/>
    </row>
    <row r="291">
      <c r="D291" s="7"/>
      <c r="E291" s="7"/>
      <c r="F291" s="7"/>
    </row>
    <row r="292">
      <c r="D292" s="7"/>
      <c r="E292" s="7"/>
      <c r="F292" s="7"/>
    </row>
    <row r="293">
      <c r="D293" s="7"/>
      <c r="E293" s="7"/>
      <c r="F293" s="7"/>
    </row>
    <row r="294">
      <c r="D294" s="7"/>
      <c r="E294" s="7"/>
      <c r="F294" s="7"/>
    </row>
    <row r="295">
      <c r="D295" s="7"/>
      <c r="E295" s="7"/>
      <c r="F295" s="7"/>
    </row>
    <row r="296">
      <c r="D296" s="7"/>
      <c r="E296" s="7"/>
      <c r="F296" s="7"/>
    </row>
    <row r="297">
      <c r="D297" s="7"/>
      <c r="E297" s="7"/>
      <c r="F297" s="7"/>
    </row>
    <row r="298">
      <c r="D298" s="7"/>
      <c r="E298" s="7"/>
      <c r="F298" s="7"/>
    </row>
    <row r="299">
      <c r="D299" s="7"/>
      <c r="E299" s="7"/>
      <c r="F299" s="7"/>
    </row>
    <row r="300">
      <c r="D300" s="7"/>
      <c r="E300" s="7"/>
      <c r="F300" s="7"/>
    </row>
    <row r="301">
      <c r="D301" s="7"/>
      <c r="E301" s="7"/>
      <c r="F301" s="7"/>
    </row>
    <row r="302">
      <c r="D302" s="7"/>
      <c r="E302" s="7"/>
      <c r="F302" s="7"/>
    </row>
    <row r="303">
      <c r="D303" s="7"/>
      <c r="E303" s="7"/>
      <c r="F303" s="7"/>
    </row>
    <row r="304">
      <c r="D304" s="7"/>
      <c r="E304" s="7"/>
      <c r="F304" s="7"/>
    </row>
    <row r="305">
      <c r="D305" s="7"/>
      <c r="E305" s="7"/>
      <c r="F305" s="7"/>
    </row>
    <row r="306">
      <c r="D306" s="7"/>
      <c r="E306" s="7"/>
      <c r="F306" s="7"/>
    </row>
    <row r="307">
      <c r="D307" s="7"/>
      <c r="E307" s="7"/>
      <c r="F307" s="7"/>
    </row>
    <row r="308">
      <c r="D308" s="7"/>
      <c r="E308" s="7"/>
      <c r="F308" s="7"/>
    </row>
    <row r="309">
      <c r="D309" s="7"/>
      <c r="E309" s="7"/>
      <c r="F309" s="7"/>
    </row>
    <row r="310">
      <c r="D310" s="7"/>
      <c r="E310" s="7"/>
      <c r="F310" s="7"/>
    </row>
    <row r="311">
      <c r="D311" s="7"/>
      <c r="E311" s="7"/>
      <c r="F311" s="7"/>
    </row>
    <row r="312">
      <c r="D312" s="7"/>
      <c r="E312" s="7"/>
      <c r="F312" s="7"/>
    </row>
    <row r="313">
      <c r="D313" s="7"/>
      <c r="E313" s="7"/>
      <c r="F313" s="7"/>
    </row>
    <row r="314">
      <c r="D314" s="7"/>
      <c r="E314" s="7"/>
      <c r="F314" s="7"/>
    </row>
    <row r="315">
      <c r="D315" s="7"/>
      <c r="E315" s="7"/>
      <c r="F315" s="7"/>
    </row>
    <row r="316">
      <c r="D316" s="7"/>
      <c r="E316" s="7"/>
      <c r="F316" s="7"/>
    </row>
    <row r="317">
      <c r="D317" s="7"/>
      <c r="E317" s="7"/>
      <c r="F317" s="7"/>
    </row>
    <row r="318">
      <c r="D318" s="7"/>
      <c r="E318" s="7"/>
      <c r="F318" s="7"/>
    </row>
    <row r="319">
      <c r="D319" s="7"/>
      <c r="E319" s="7"/>
      <c r="F319" s="7"/>
    </row>
    <row r="320">
      <c r="D320" s="7"/>
      <c r="E320" s="7"/>
      <c r="F320" s="7"/>
    </row>
    <row r="321">
      <c r="D321" s="7"/>
      <c r="E321" s="7"/>
      <c r="F321" s="7"/>
    </row>
    <row r="322">
      <c r="D322" s="7"/>
      <c r="E322" s="7"/>
      <c r="F322" s="7"/>
    </row>
    <row r="323">
      <c r="D323" s="7"/>
      <c r="E323" s="7"/>
      <c r="F323" s="7"/>
    </row>
    <row r="324">
      <c r="D324" s="7"/>
      <c r="E324" s="7"/>
      <c r="F324" s="7"/>
    </row>
    <row r="325">
      <c r="D325" s="7"/>
      <c r="E325" s="7"/>
      <c r="F325" s="7"/>
    </row>
    <row r="326">
      <c r="D326" s="7"/>
      <c r="E326" s="7"/>
      <c r="F326" s="7"/>
    </row>
    <row r="327">
      <c r="D327" s="7"/>
      <c r="E327" s="7"/>
      <c r="F327" s="7"/>
    </row>
    <row r="328">
      <c r="D328" s="7"/>
      <c r="E328" s="7"/>
      <c r="F328" s="7"/>
    </row>
    <row r="329">
      <c r="D329" s="7"/>
      <c r="E329" s="7"/>
      <c r="F329" s="7"/>
    </row>
    <row r="330">
      <c r="D330" s="7"/>
      <c r="E330" s="7"/>
      <c r="F330" s="7"/>
    </row>
    <row r="331">
      <c r="D331" s="7"/>
      <c r="E331" s="7"/>
      <c r="F331" s="7"/>
    </row>
    <row r="332">
      <c r="D332" s="7"/>
      <c r="E332" s="7"/>
      <c r="F332" s="7"/>
    </row>
    <row r="333">
      <c r="D333" s="7"/>
      <c r="E333" s="7"/>
      <c r="F333" s="7"/>
    </row>
    <row r="334">
      <c r="D334" s="7"/>
      <c r="E334" s="7"/>
      <c r="F334" s="7"/>
    </row>
    <row r="335">
      <c r="D335" s="7"/>
      <c r="E335" s="7"/>
      <c r="F335" s="7"/>
    </row>
    <row r="336">
      <c r="D336" s="7"/>
      <c r="E336" s="7"/>
      <c r="F336" s="7"/>
    </row>
    <row r="337">
      <c r="D337" s="7"/>
      <c r="E337" s="7"/>
      <c r="F337" s="7"/>
    </row>
    <row r="338">
      <c r="D338" s="7"/>
      <c r="E338" s="7"/>
      <c r="F338" s="7"/>
    </row>
    <row r="339">
      <c r="D339" s="7"/>
      <c r="E339" s="7"/>
      <c r="F339" s="7"/>
    </row>
    <row r="340">
      <c r="D340" s="7"/>
      <c r="E340" s="7"/>
      <c r="F340" s="7"/>
    </row>
    <row r="341">
      <c r="D341" s="7"/>
      <c r="E341" s="7"/>
      <c r="F341" s="7"/>
    </row>
    <row r="342">
      <c r="D342" s="7"/>
      <c r="E342" s="7"/>
      <c r="F342" s="7"/>
    </row>
    <row r="343">
      <c r="D343" s="7"/>
      <c r="E343" s="7"/>
      <c r="F343" s="7"/>
    </row>
    <row r="344">
      <c r="D344" s="7"/>
      <c r="E344" s="7"/>
      <c r="F344" s="7"/>
    </row>
    <row r="345">
      <c r="D345" s="7"/>
      <c r="E345" s="7"/>
      <c r="F345" s="7"/>
    </row>
    <row r="346">
      <c r="D346" s="7"/>
      <c r="E346" s="7"/>
      <c r="F346" s="7"/>
    </row>
    <row r="347">
      <c r="D347" s="7"/>
      <c r="E347" s="7"/>
      <c r="F347" s="7"/>
    </row>
    <row r="348">
      <c r="D348" s="7"/>
      <c r="E348" s="7"/>
      <c r="F348" s="7"/>
    </row>
    <row r="349">
      <c r="D349" s="7"/>
      <c r="E349" s="7"/>
      <c r="F349" s="7"/>
    </row>
    <row r="350">
      <c r="D350" s="7"/>
      <c r="E350" s="7"/>
      <c r="F350" s="7"/>
    </row>
    <row r="351">
      <c r="D351" s="7"/>
      <c r="E351" s="7"/>
      <c r="F351" s="7"/>
    </row>
    <row r="352">
      <c r="D352" s="7"/>
      <c r="E352" s="7"/>
      <c r="F352" s="7"/>
    </row>
    <row r="353">
      <c r="D353" s="7"/>
      <c r="E353" s="7"/>
      <c r="F353" s="7"/>
    </row>
    <row r="354">
      <c r="D354" s="7"/>
      <c r="E354" s="7"/>
      <c r="F354" s="7"/>
    </row>
    <row r="355">
      <c r="D355" s="7"/>
      <c r="E355" s="7"/>
      <c r="F355" s="7"/>
    </row>
    <row r="356">
      <c r="D356" s="7"/>
      <c r="E356" s="7"/>
      <c r="F356" s="7"/>
    </row>
    <row r="357">
      <c r="D357" s="7"/>
      <c r="E357" s="7"/>
      <c r="F357" s="7"/>
    </row>
    <row r="358">
      <c r="D358" s="7"/>
      <c r="E358" s="7"/>
      <c r="F358" s="7"/>
    </row>
    <row r="359">
      <c r="D359" s="7"/>
      <c r="E359" s="7"/>
      <c r="F359" s="7"/>
    </row>
    <row r="360">
      <c r="D360" s="7"/>
      <c r="E360" s="7"/>
      <c r="F360" s="7"/>
    </row>
    <row r="361">
      <c r="D361" s="7"/>
      <c r="E361" s="7"/>
      <c r="F361" s="7"/>
    </row>
    <row r="362">
      <c r="D362" s="7"/>
      <c r="E362" s="7"/>
      <c r="F362" s="7"/>
    </row>
    <row r="363">
      <c r="D363" s="7"/>
      <c r="E363" s="7"/>
      <c r="F363" s="7"/>
    </row>
    <row r="364">
      <c r="D364" s="7"/>
      <c r="E364" s="7"/>
      <c r="F364" s="7"/>
    </row>
    <row r="365">
      <c r="D365" s="7"/>
      <c r="E365" s="7"/>
      <c r="F365" s="7"/>
    </row>
    <row r="366">
      <c r="D366" s="7"/>
      <c r="E366" s="7"/>
      <c r="F366" s="7"/>
    </row>
    <row r="367">
      <c r="D367" s="7"/>
      <c r="E367" s="7"/>
      <c r="F367" s="7"/>
    </row>
    <row r="368">
      <c r="D368" s="7"/>
      <c r="E368" s="7"/>
      <c r="F368" s="7"/>
    </row>
    <row r="369">
      <c r="D369" s="7"/>
      <c r="E369" s="7"/>
      <c r="F369" s="7"/>
    </row>
    <row r="370">
      <c r="D370" s="7"/>
      <c r="E370" s="7"/>
      <c r="F370" s="7"/>
    </row>
    <row r="371">
      <c r="D371" s="7"/>
      <c r="E371" s="7"/>
      <c r="F371" s="7"/>
    </row>
    <row r="372">
      <c r="D372" s="7"/>
      <c r="E372" s="7"/>
      <c r="F372" s="7"/>
    </row>
    <row r="373">
      <c r="D373" s="7"/>
      <c r="E373" s="7"/>
      <c r="F373" s="7"/>
    </row>
    <row r="374">
      <c r="D374" s="7"/>
      <c r="E374" s="7"/>
      <c r="F374" s="7"/>
    </row>
    <row r="375">
      <c r="D375" s="7"/>
      <c r="E375" s="7"/>
      <c r="F375" s="7"/>
    </row>
    <row r="376">
      <c r="D376" s="7"/>
      <c r="E376" s="7"/>
      <c r="F376" s="7"/>
    </row>
    <row r="377">
      <c r="D377" s="7"/>
      <c r="E377" s="7"/>
      <c r="F377" s="7"/>
    </row>
    <row r="378">
      <c r="D378" s="7"/>
      <c r="E378" s="7"/>
      <c r="F378" s="7"/>
    </row>
    <row r="379">
      <c r="D379" s="7"/>
      <c r="E379" s="7"/>
      <c r="F379" s="7"/>
    </row>
    <row r="380">
      <c r="D380" s="7"/>
      <c r="E380" s="7"/>
      <c r="F380" s="7"/>
    </row>
    <row r="381">
      <c r="D381" s="7"/>
      <c r="E381" s="7"/>
      <c r="F381" s="7"/>
    </row>
    <row r="382">
      <c r="D382" s="7"/>
      <c r="E382" s="7"/>
      <c r="F382" s="7"/>
    </row>
    <row r="383">
      <c r="D383" s="7"/>
      <c r="E383" s="7"/>
      <c r="F383" s="7"/>
    </row>
    <row r="384">
      <c r="D384" s="7"/>
      <c r="E384" s="7"/>
      <c r="F384" s="7"/>
    </row>
    <row r="385">
      <c r="D385" s="7"/>
      <c r="E385" s="7"/>
      <c r="F385" s="7"/>
    </row>
    <row r="386">
      <c r="D386" s="7"/>
      <c r="E386" s="7"/>
      <c r="F386" s="7"/>
    </row>
    <row r="387">
      <c r="D387" s="7"/>
      <c r="E387" s="7"/>
      <c r="F387" s="7"/>
    </row>
    <row r="388">
      <c r="D388" s="7"/>
      <c r="E388" s="7"/>
      <c r="F388" s="7"/>
    </row>
    <row r="389">
      <c r="D389" s="7"/>
      <c r="E389" s="7"/>
      <c r="F389" s="7"/>
    </row>
    <row r="390">
      <c r="D390" s="7"/>
      <c r="E390" s="7"/>
      <c r="F390" s="7"/>
    </row>
    <row r="391">
      <c r="D391" s="7"/>
      <c r="E391" s="7"/>
      <c r="F391" s="7"/>
    </row>
    <row r="392">
      <c r="D392" s="7"/>
      <c r="E392" s="7"/>
      <c r="F392" s="7"/>
    </row>
    <row r="393">
      <c r="D393" s="7"/>
      <c r="E393" s="7"/>
      <c r="F393" s="7"/>
    </row>
    <row r="394">
      <c r="D394" s="7"/>
      <c r="E394" s="7"/>
      <c r="F394" s="7"/>
    </row>
    <row r="395">
      <c r="D395" s="7"/>
      <c r="E395" s="7"/>
      <c r="F395" s="7"/>
    </row>
    <row r="396">
      <c r="D396" s="7"/>
      <c r="E396" s="7"/>
      <c r="F396" s="7"/>
    </row>
    <row r="397">
      <c r="D397" s="7"/>
      <c r="E397" s="7"/>
      <c r="F397" s="7"/>
    </row>
    <row r="398">
      <c r="D398" s="7"/>
      <c r="E398" s="7"/>
      <c r="F398" s="7"/>
    </row>
    <row r="399">
      <c r="D399" s="7"/>
      <c r="E399" s="7"/>
      <c r="F399" s="7"/>
    </row>
    <row r="400">
      <c r="D400" s="7"/>
      <c r="E400" s="7"/>
      <c r="F400" s="7"/>
    </row>
    <row r="401">
      <c r="D401" s="7"/>
      <c r="E401" s="7"/>
      <c r="F401" s="7"/>
    </row>
    <row r="402">
      <c r="D402" s="7"/>
      <c r="E402" s="7"/>
      <c r="F402" s="7"/>
    </row>
    <row r="403">
      <c r="D403" s="7"/>
      <c r="E403" s="7"/>
      <c r="F403" s="7"/>
    </row>
    <row r="404">
      <c r="D404" s="7"/>
      <c r="E404" s="7"/>
      <c r="F404" s="7"/>
    </row>
    <row r="405">
      <c r="D405" s="7"/>
      <c r="E405" s="7"/>
      <c r="F405" s="7"/>
    </row>
    <row r="406">
      <c r="D406" s="7"/>
      <c r="E406" s="7"/>
      <c r="F406" s="7"/>
    </row>
    <row r="407">
      <c r="D407" s="7"/>
      <c r="E407" s="7"/>
      <c r="F407" s="7"/>
    </row>
    <row r="408">
      <c r="D408" s="7"/>
      <c r="E408" s="7"/>
      <c r="F408" s="7"/>
    </row>
    <row r="409">
      <c r="D409" s="7"/>
      <c r="E409" s="7"/>
      <c r="F409" s="7"/>
    </row>
    <row r="410">
      <c r="D410" s="7"/>
      <c r="E410" s="7"/>
      <c r="F410" s="7"/>
    </row>
    <row r="411">
      <c r="D411" s="7"/>
      <c r="E411" s="7"/>
      <c r="F411" s="7"/>
    </row>
    <row r="412">
      <c r="D412" s="7"/>
      <c r="E412" s="7"/>
      <c r="F412" s="7"/>
    </row>
    <row r="413">
      <c r="D413" s="7"/>
      <c r="E413" s="7"/>
      <c r="F413" s="7"/>
    </row>
    <row r="414">
      <c r="D414" s="7"/>
      <c r="E414" s="7"/>
      <c r="F414" s="7"/>
    </row>
    <row r="415">
      <c r="D415" s="7"/>
      <c r="E415" s="7"/>
      <c r="F415" s="7"/>
    </row>
    <row r="416">
      <c r="D416" s="7"/>
      <c r="E416" s="7"/>
      <c r="F416" s="7"/>
    </row>
    <row r="417">
      <c r="D417" s="7"/>
      <c r="E417" s="7"/>
      <c r="F417" s="7"/>
    </row>
    <row r="418">
      <c r="D418" s="7"/>
      <c r="E418" s="7"/>
      <c r="F418" s="7"/>
    </row>
    <row r="419">
      <c r="D419" s="7"/>
      <c r="E419" s="7"/>
      <c r="F419" s="7"/>
    </row>
    <row r="420">
      <c r="D420" s="7"/>
      <c r="E420" s="7"/>
      <c r="F420" s="7"/>
    </row>
    <row r="421">
      <c r="D421" s="7"/>
      <c r="E421" s="7"/>
      <c r="F421" s="7"/>
    </row>
    <row r="422">
      <c r="D422" s="7"/>
      <c r="E422" s="7"/>
      <c r="F422" s="7"/>
    </row>
    <row r="423">
      <c r="D423" s="7"/>
      <c r="E423" s="7"/>
      <c r="F423" s="7"/>
    </row>
    <row r="424">
      <c r="D424" s="7"/>
      <c r="E424" s="7"/>
      <c r="F424" s="7"/>
    </row>
    <row r="425">
      <c r="D425" s="7"/>
      <c r="E425" s="7"/>
      <c r="F425" s="7"/>
    </row>
    <row r="426">
      <c r="D426" s="7"/>
      <c r="E426" s="7"/>
      <c r="F426" s="7"/>
    </row>
    <row r="427">
      <c r="D427" s="7"/>
      <c r="E427" s="7"/>
      <c r="F427" s="7"/>
    </row>
    <row r="428">
      <c r="D428" s="7"/>
      <c r="E428" s="7"/>
      <c r="F428" s="7"/>
    </row>
    <row r="429">
      <c r="D429" s="7"/>
      <c r="E429" s="7"/>
      <c r="F429" s="7"/>
    </row>
    <row r="430">
      <c r="D430" s="7"/>
      <c r="E430" s="7"/>
      <c r="F430" s="7"/>
    </row>
    <row r="431">
      <c r="D431" s="7"/>
      <c r="E431" s="7"/>
      <c r="F431" s="7"/>
    </row>
    <row r="432">
      <c r="D432" s="7"/>
      <c r="E432" s="7"/>
      <c r="F432" s="7"/>
    </row>
    <row r="433">
      <c r="D433" s="7"/>
      <c r="E433" s="7"/>
      <c r="F433" s="7"/>
    </row>
    <row r="434">
      <c r="D434" s="7"/>
      <c r="E434" s="7"/>
      <c r="F434" s="7"/>
    </row>
    <row r="435">
      <c r="D435" s="7"/>
      <c r="E435" s="7"/>
      <c r="F435" s="7"/>
    </row>
    <row r="436">
      <c r="D436" s="7"/>
      <c r="E436" s="7"/>
      <c r="F436" s="7"/>
    </row>
    <row r="437">
      <c r="D437" s="7"/>
      <c r="E437" s="7"/>
      <c r="F437" s="7"/>
    </row>
    <row r="438">
      <c r="D438" s="7"/>
      <c r="E438" s="7"/>
      <c r="F438" s="7"/>
    </row>
    <row r="439">
      <c r="D439" s="7"/>
      <c r="E439" s="7"/>
      <c r="F439" s="7"/>
    </row>
    <row r="440">
      <c r="D440" s="7"/>
      <c r="E440" s="7"/>
      <c r="F440" s="7"/>
    </row>
    <row r="441">
      <c r="D441" s="7"/>
      <c r="E441" s="7"/>
      <c r="F441" s="7"/>
    </row>
    <row r="442">
      <c r="D442" s="7"/>
      <c r="E442" s="7"/>
      <c r="F442" s="7"/>
    </row>
    <row r="443">
      <c r="D443" s="7"/>
      <c r="E443" s="7"/>
      <c r="F443" s="7"/>
    </row>
    <row r="444">
      <c r="D444" s="7"/>
      <c r="E444" s="7"/>
      <c r="F444" s="7"/>
    </row>
    <row r="445">
      <c r="D445" s="7"/>
      <c r="E445" s="7"/>
      <c r="F445" s="7"/>
    </row>
    <row r="446">
      <c r="D446" s="7"/>
      <c r="E446" s="7"/>
      <c r="F446" s="7"/>
    </row>
    <row r="447">
      <c r="D447" s="7"/>
      <c r="E447" s="7"/>
      <c r="F447" s="7"/>
    </row>
    <row r="448">
      <c r="D448" s="7"/>
      <c r="E448" s="7"/>
      <c r="F448" s="7"/>
    </row>
    <row r="449">
      <c r="D449" s="7"/>
      <c r="E449" s="7"/>
      <c r="F449" s="7"/>
    </row>
    <row r="450">
      <c r="D450" s="7"/>
      <c r="E450" s="7"/>
      <c r="F450" s="7"/>
    </row>
    <row r="451">
      <c r="D451" s="7"/>
      <c r="E451" s="7"/>
      <c r="F451" s="7"/>
    </row>
    <row r="452">
      <c r="D452" s="7"/>
      <c r="E452" s="7"/>
      <c r="F452" s="7"/>
    </row>
    <row r="453">
      <c r="D453" s="7"/>
      <c r="E453" s="7"/>
      <c r="F453" s="7"/>
    </row>
    <row r="454">
      <c r="D454" s="7"/>
      <c r="E454" s="7"/>
      <c r="F454" s="7"/>
    </row>
    <row r="455">
      <c r="D455" s="7"/>
      <c r="E455" s="7"/>
      <c r="F455" s="7"/>
    </row>
    <row r="456">
      <c r="D456" s="7"/>
      <c r="E456" s="7"/>
      <c r="F456" s="7"/>
    </row>
    <row r="457">
      <c r="D457" s="7"/>
      <c r="E457" s="7"/>
      <c r="F457" s="7"/>
    </row>
    <row r="458">
      <c r="D458" s="7"/>
      <c r="E458" s="7"/>
      <c r="F458" s="7"/>
    </row>
    <row r="459">
      <c r="D459" s="7"/>
      <c r="E459" s="7"/>
      <c r="F459" s="7"/>
    </row>
    <row r="460">
      <c r="D460" s="7"/>
      <c r="E460" s="7"/>
      <c r="F460" s="7"/>
    </row>
    <row r="461">
      <c r="D461" s="7"/>
      <c r="E461" s="7"/>
      <c r="F461" s="7"/>
    </row>
    <row r="462">
      <c r="D462" s="7"/>
      <c r="E462" s="7"/>
      <c r="F462" s="7"/>
    </row>
    <row r="463">
      <c r="D463" s="7"/>
      <c r="E463" s="7"/>
      <c r="F463" s="7"/>
    </row>
    <row r="464">
      <c r="D464" s="7"/>
      <c r="E464" s="7"/>
      <c r="F464" s="7"/>
    </row>
    <row r="465">
      <c r="D465" s="7"/>
      <c r="E465" s="7"/>
      <c r="F465" s="7"/>
    </row>
    <row r="466">
      <c r="D466" s="7"/>
      <c r="E466" s="7"/>
      <c r="F466" s="7"/>
    </row>
    <row r="467">
      <c r="D467" s="7"/>
      <c r="E467" s="7"/>
      <c r="F467" s="7"/>
    </row>
    <row r="468">
      <c r="D468" s="7"/>
      <c r="E468" s="7"/>
      <c r="F468" s="7"/>
    </row>
    <row r="469">
      <c r="D469" s="7"/>
      <c r="E469" s="7"/>
      <c r="F469" s="7"/>
    </row>
    <row r="470">
      <c r="D470" s="7"/>
      <c r="E470" s="7"/>
      <c r="F470" s="7"/>
    </row>
    <row r="471">
      <c r="D471" s="7"/>
      <c r="E471" s="7"/>
      <c r="F471" s="7"/>
    </row>
    <row r="472">
      <c r="D472" s="7"/>
      <c r="E472" s="7"/>
      <c r="F472" s="7"/>
    </row>
    <row r="473">
      <c r="D473" s="7"/>
      <c r="E473" s="7"/>
      <c r="F473" s="7"/>
    </row>
    <row r="474">
      <c r="D474" s="7"/>
      <c r="E474" s="7"/>
      <c r="F474" s="7"/>
    </row>
    <row r="475">
      <c r="D475" s="7"/>
      <c r="E475" s="7"/>
      <c r="F475" s="7"/>
    </row>
    <row r="476">
      <c r="D476" s="7"/>
      <c r="E476" s="7"/>
      <c r="F476" s="7"/>
    </row>
    <row r="477">
      <c r="D477" s="7"/>
      <c r="E477" s="7"/>
      <c r="F477" s="7"/>
    </row>
    <row r="478">
      <c r="D478" s="7"/>
      <c r="E478" s="7"/>
      <c r="F478" s="7"/>
    </row>
    <row r="479">
      <c r="D479" s="7"/>
      <c r="E479" s="7"/>
      <c r="F479" s="7"/>
    </row>
    <row r="480">
      <c r="D480" s="7"/>
      <c r="E480" s="7"/>
      <c r="F480" s="7"/>
    </row>
    <row r="481">
      <c r="D481" s="7"/>
      <c r="E481" s="7"/>
      <c r="F481" s="7"/>
    </row>
    <row r="482">
      <c r="D482" s="7"/>
      <c r="E482" s="7"/>
      <c r="F482" s="7"/>
    </row>
    <row r="483">
      <c r="D483" s="7"/>
      <c r="E483" s="7"/>
      <c r="F483" s="7"/>
    </row>
    <row r="484">
      <c r="D484" s="7"/>
      <c r="E484" s="7"/>
      <c r="F484" s="7"/>
    </row>
    <row r="485">
      <c r="D485" s="7"/>
      <c r="E485" s="7"/>
      <c r="F485" s="7"/>
    </row>
    <row r="486">
      <c r="D486" s="7"/>
      <c r="E486" s="7"/>
      <c r="F486" s="7"/>
    </row>
    <row r="487">
      <c r="D487" s="7"/>
      <c r="E487" s="7"/>
      <c r="F487" s="7"/>
    </row>
    <row r="488">
      <c r="D488" s="7"/>
      <c r="E488" s="7"/>
      <c r="F488" s="7"/>
    </row>
    <row r="489">
      <c r="D489" s="7"/>
      <c r="E489" s="7"/>
      <c r="F489" s="7"/>
    </row>
    <row r="490">
      <c r="D490" s="7"/>
      <c r="E490" s="7"/>
      <c r="F490" s="7"/>
    </row>
    <row r="491">
      <c r="D491" s="7"/>
      <c r="E491" s="7"/>
      <c r="F491" s="7"/>
    </row>
    <row r="492">
      <c r="D492" s="7"/>
      <c r="E492" s="7"/>
      <c r="F492" s="7"/>
    </row>
    <row r="493">
      <c r="D493" s="7"/>
      <c r="E493" s="7"/>
      <c r="F493" s="7"/>
    </row>
    <row r="494">
      <c r="D494" s="7"/>
      <c r="E494" s="7"/>
      <c r="F494" s="7"/>
    </row>
    <row r="495">
      <c r="D495" s="7"/>
      <c r="E495" s="7"/>
      <c r="F495" s="7"/>
    </row>
    <row r="496">
      <c r="D496" s="7"/>
      <c r="E496" s="7"/>
      <c r="F496" s="7"/>
    </row>
    <row r="497">
      <c r="D497" s="7"/>
      <c r="E497" s="7"/>
      <c r="F497" s="7"/>
    </row>
    <row r="498">
      <c r="D498" s="7"/>
      <c r="E498" s="7"/>
      <c r="F498" s="7"/>
    </row>
    <row r="499">
      <c r="D499" s="7"/>
      <c r="E499" s="7"/>
      <c r="F499" s="7"/>
    </row>
    <row r="500">
      <c r="D500" s="7"/>
      <c r="E500" s="7"/>
      <c r="F500" s="7"/>
    </row>
    <row r="501">
      <c r="D501" s="7"/>
      <c r="E501" s="7"/>
      <c r="F501" s="7"/>
    </row>
    <row r="502">
      <c r="D502" s="7"/>
      <c r="E502" s="7"/>
      <c r="F502" s="7"/>
    </row>
    <row r="503">
      <c r="D503" s="7"/>
      <c r="E503" s="7"/>
      <c r="F503" s="7"/>
    </row>
    <row r="504">
      <c r="D504" s="7"/>
      <c r="E504" s="7"/>
      <c r="F504" s="7"/>
    </row>
    <row r="505">
      <c r="D505" s="7"/>
      <c r="E505" s="7"/>
      <c r="F505" s="7"/>
    </row>
    <row r="506">
      <c r="D506" s="7"/>
      <c r="E506" s="7"/>
      <c r="F506" s="7"/>
    </row>
    <row r="507">
      <c r="D507" s="7"/>
      <c r="E507" s="7"/>
      <c r="F507" s="7"/>
    </row>
    <row r="508">
      <c r="D508" s="7"/>
      <c r="E508" s="7"/>
      <c r="F508" s="7"/>
    </row>
    <row r="509">
      <c r="D509" s="7"/>
      <c r="E509" s="7"/>
      <c r="F509" s="7"/>
    </row>
    <row r="510">
      <c r="D510" s="7"/>
      <c r="E510" s="7"/>
      <c r="F510" s="7"/>
    </row>
    <row r="511">
      <c r="D511" s="7"/>
      <c r="E511" s="7"/>
      <c r="F511" s="7"/>
    </row>
    <row r="512">
      <c r="D512" s="7"/>
      <c r="E512" s="7"/>
      <c r="F512" s="7"/>
    </row>
    <row r="513">
      <c r="D513" s="7"/>
      <c r="E513" s="7"/>
      <c r="F513" s="7"/>
    </row>
    <row r="514">
      <c r="D514" s="7"/>
      <c r="E514" s="7"/>
      <c r="F514" s="7"/>
    </row>
    <row r="515">
      <c r="D515" s="7"/>
      <c r="E515" s="7"/>
      <c r="F515" s="7"/>
    </row>
    <row r="516">
      <c r="D516" s="7"/>
      <c r="E516" s="7"/>
      <c r="F516" s="7"/>
    </row>
    <row r="517">
      <c r="D517" s="7"/>
      <c r="E517" s="7"/>
      <c r="F517" s="7"/>
    </row>
    <row r="518">
      <c r="D518" s="7"/>
      <c r="E518" s="7"/>
      <c r="F518" s="7"/>
    </row>
    <row r="519">
      <c r="D519" s="7"/>
      <c r="E519" s="7"/>
      <c r="F519" s="7"/>
    </row>
    <row r="520">
      <c r="D520" s="7"/>
      <c r="E520" s="7"/>
      <c r="F520" s="7"/>
    </row>
    <row r="521">
      <c r="D521" s="7"/>
      <c r="E521" s="7"/>
      <c r="F521" s="7"/>
    </row>
    <row r="522">
      <c r="D522" s="7"/>
      <c r="E522" s="7"/>
      <c r="F522" s="7"/>
    </row>
    <row r="523">
      <c r="D523" s="7"/>
      <c r="E523" s="7"/>
      <c r="F523" s="7"/>
    </row>
    <row r="524">
      <c r="D524" s="7"/>
      <c r="E524" s="7"/>
      <c r="F524" s="7"/>
    </row>
    <row r="525">
      <c r="D525" s="7"/>
      <c r="E525" s="7"/>
      <c r="F525" s="7"/>
    </row>
    <row r="526">
      <c r="D526" s="7"/>
      <c r="E526" s="7"/>
      <c r="F526" s="7"/>
    </row>
    <row r="527">
      <c r="D527" s="7"/>
      <c r="E527" s="7"/>
      <c r="F527" s="7"/>
    </row>
    <row r="528">
      <c r="D528" s="7"/>
      <c r="E528" s="7"/>
      <c r="F528" s="7"/>
    </row>
    <row r="529">
      <c r="D529" s="7"/>
      <c r="E529" s="7"/>
      <c r="F529" s="7"/>
    </row>
    <row r="530">
      <c r="D530" s="7"/>
      <c r="E530" s="7"/>
      <c r="F530" s="7"/>
    </row>
    <row r="531">
      <c r="D531" s="7"/>
      <c r="E531" s="7"/>
      <c r="F531" s="7"/>
    </row>
    <row r="532">
      <c r="D532" s="7"/>
      <c r="E532" s="7"/>
      <c r="F532" s="7"/>
    </row>
    <row r="533">
      <c r="D533" s="7"/>
      <c r="E533" s="7"/>
      <c r="F533" s="7"/>
    </row>
    <row r="534">
      <c r="D534" s="7"/>
      <c r="E534" s="7"/>
      <c r="F534" s="7"/>
    </row>
    <row r="535">
      <c r="D535" s="7"/>
      <c r="E535" s="7"/>
      <c r="F535" s="7"/>
    </row>
    <row r="536">
      <c r="D536" s="7"/>
      <c r="E536" s="7"/>
      <c r="F536" s="7"/>
    </row>
    <row r="537">
      <c r="D537" s="7"/>
      <c r="E537" s="7"/>
      <c r="F537" s="7"/>
    </row>
    <row r="538">
      <c r="D538" s="7"/>
      <c r="E538" s="7"/>
      <c r="F538" s="7"/>
    </row>
    <row r="539">
      <c r="D539" s="7"/>
      <c r="E539" s="7"/>
      <c r="F539" s="7"/>
    </row>
    <row r="540">
      <c r="D540" s="7"/>
      <c r="E540" s="7"/>
      <c r="F540" s="7"/>
    </row>
    <row r="541">
      <c r="D541" s="7"/>
      <c r="E541" s="7"/>
      <c r="F541" s="7"/>
    </row>
    <row r="542">
      <c r="D542" s="7"/>
      <c r="E542" s="7"/>
      <c r="F542" s="7"/>
    </row>
    <row r="543">
      <c r="D543" s="7"/>
      <c r="E543" s="7"/>
      <c r="F543" s="7"/>
    </row>
    <row r="544">
      <c r="D544" s="7"/>
      <c r="E544" s="7"/>
      <c r="F544" s="7"/>
    </row>
    <row r="545">
      <c r="D545" s="7"/>
      <c r="E545" s="7"/>
      <c r="F545" s="7"/>
    </row>
    <row r="546">
      <c r="D546" s="7"/>
      <c r="E546" s="7"/>
      <c r="F546" s="7"/>
    </row>
    <row r="547">
      <c r="D547" s="7"/>
      <c r="E547" s="7"/>
      <c r="F547" s="7"/>
    </row>
    <row r="548">
      <c r="D548" s="7"/>
      <c r="E548" s="7"/>
      <c r="F548" s="7"/>
    </row>
    <row r="549">
      <c r="D549" s="7"/>
      <c r="E549" s="7"/>
      <c r="F549" s="7"/>
    </row>
    <row r="550">
      <c r="D550" s="7"/>
      <c r="E550" s="7"/>
      <c r="F550" s="7"/>
    </row>
    <row r="551">
      <c r="D551" s="7"/>
      <c r="E551" s="7"/>
      <c r="F551" s="7"/>
    </row>
    <row r="552">
      <c r="D552" s="7"/>
      <c r="E552" s="7"/>
      <c r="F552" s="7"/>
    </row>
    <row r="553">
      <c r="D553" s="7"/>
      <c r="E553" s="7"/>
      <c r="F553" s="7"/>
    </row>
    <row r="554">
      <c r="D554" s="7"/>
      <c r="E554" s="7"/>
      <c r="F554" s="7"/>
    </row>
    <row r="555">
      <c r="D555" s="7"/>
      <c r="E555" s="7"/>
      <c r="F555" s="7"/>
    </row>
    <row r="556">
      <c r="D556" s="7"/>
      <c r="E556" s="7"/>
      <c r="F556" s="7"/>
    </row>
    <row r="557">
      <c r="D557" s="7"/>
      <c r="E557" s="7"/>
      <c r="F557" s="7"/>
    </row>
    <row r="558">
      <c r="D558" s="7"/>
      <c r="E558" s="7"/>
      <c r="F558" s="7"/>
    </row>
    <row r="559">
      <c r="D559" s="7"/>
      <c r="E559" s="7"/>
      <c r="F559" s="7"/>
    </row>
    <row r="560">
      <c r="D560" s="7"/>
      <c r="E560" s="7"/>
      <c r="F560" s="7"/>
    </row>
    <row r="561">
      <c r="D561" s="7"/>
      <c r="E561" s="7"/>
      <c r="F561" s="7"/>
    </row>
    <row r="562">
      <c r="D562" s="7"/>
      <c r="E562" s="7"/>
      <c r="F562" s="7"/>
    </row>
    <row r="563">
      <c r="D563" s="7"/>
      <c r="E563" s="7"/>
      <c r="F563" s="7"/>
    </row>
    <row r="564">
      <c r="D564" s="7"/>
      <c r="E564" s="7"/>
      <c r="F564" s="7"/>
    </row>
    <row r="565">
      <c r="D565" s="7"/>
      <c r="E565" s="7"/>
      <c r="F565" s="7"/>
    </row>
    <row r="566">
      <c r="D566" s="7"/>
      <c r="E566" s="7"/>
      <c r="F566" s="7"/>
    </row>
    <row r="567">
      <c r="D567" s="7"/>
      <c r="E567" s="7"/>
      <c r="F567" s="7"/>
    </row>
    <row r="568">
      <c r="D568" s="7"/>
      <c r="E568" s="7"/>
      <c r="F568" s="7"/>
    </row>
    <row r="569">
      <c r="D569" s="7"/>
      <c r="E569" s="7"/>
      <c r="F569" s="7"/>
    </row>
    <row r="570">
      <c r="D570" s="7"/>
      <c r="E570" s="7"/>
      <c r="F570" s="7"/>
    </row>
    <row r="571">
      <c r="D571" s="7"/>
      <c r="E571" s="7"/>
      <c r="F571" s="7"/>
    </row>
    <row r="572">
      <c r="D572" s="7"/>
      <c r="E572" s="7"/>
      <c r="F572" s="7"/>
    </row>
    <row r="573">
      <c r="D573" s="7"/>
      <c r="E573" s="7"/>
      <c r="F573" s="7"/>
    </row>
    <row r="574">
      <c r="D574" s="7"/>
      <c r="E574" s="7"/>
      <c r="F574" s="7"/>
    </row>
    <row r="575">
      <c r="D575" s="7"/>
      <c r="E575" s="7"/>
      <c r="F575" s="7"/>
    </row>
    <row r="576">
      <c r="D576" s="7"/>
      <c r="E576" s="7"/>
      <c r="F576" s="7"/>
    </row>
    <row r="577">
      <c r="D577" s="7"/>
      <c r="E577" s="7"/>
      <c r="F577" s="7"/>
    </row>
    <row r="578">
      <c r="D578" s="7"/>
      <c r="E578" s="7"/>
      <c r="F578" s="7"/>
    </row>
    <row r="579">
      <c r="D579" s="7"/>
      <c r="E579" s="7"/>
      <c r="F579" s="7"/>
    </row>
    <row r="580">
      <c r="D580" s="7"/>
      <c r="E580" s="7"/>
      <c r="F580" s="7"/>
    </row>
    <row r="581">
      <c r="D581" s="7"/>
      <c r="E581" s="7"/>
      <c r="F581" s="7"/>
    </row>
    <row r="582">
      <c r="D582" s="7"/>
      <c r="E582" s="7"/>
      <c r="F582" s="7"/>
    </row>
    <row r="583">
      <c r="D583" s="7"/>
      <c r="E583" s="7"/>
      <c r="F583" s="7"/>
    </row>
    <row r="584">
      <c r="D584" s="7"/>
      <c r="E584" s="7"/>
      <c r="F584" s="7"/>
    </row>
    <row r="585">
      <c r="D585" s="7"/>
      <c r="E585" s="7"/>
      <c r="F585" s="7"/>
    </row>
    <row r="586">
      <c r="D586" s="7"/>
      <c r="E586" s="7"/>
      <c r="F586" s="7"/>
    </row>
    <row r="587">
      <c r="D587" s="7"/>
      <c r="E587" s="7"/>
      <c r="F587" s="7"/>
    </row>
    <row r="588">
      <c r="D588" s="7"/>
      <c r="E588" s="7"/>
      <c r="F588" s="7"/>
    </row>
    <row r="589">
      <c r="D589" s="7"/>
      <c r="E589" s="7"/>
      <c r="F589" s="7"/>
    </row>
    <row r="590">
      <c r="D590" s="7"/>
      <c r="E590" s="7"/>
      <c r="F590" s="7"/>
    </row>
    <row r="591">
      <c r="D591" s="7"/>
      <c r="E591" s="7"/>
      <c r="F591" s="7"/>
    </row>
    <row r="592">
      <c r="D592" s="7"/>
      <c r="E592" s="7"/>
      <c r="F592" s="7"/>
    </row>
    <row r="593">
      <c r="D593" s="7"/>
      <c r="E593" s="7"/>
      <c r="F593" s="7"/>
    </row>
    <row r="594">
      <c r="D594" s="7"/>
      <c r="E594" s="7"/>
      <c r="F594" s="7"/>
    </row>
    <row r="595">
      <c r="D595" s="7"/>
      <c r="E595" s="7"/>
      <c r="F595" s="7"/>
    </row>
    <row r="596">
      <c r="D596" s="7"/>
      <c r="E596" s="7"/>
      <c r="F596" s="7"/>
    </row>
    <row r="597">
      <c r="D597" s="7"/>
      <c r="E597" s="7"/>
      <c r="F597" s="7"/>
    </row>
    <row r="598">
      <c r="D598" s="7"/>
      <c r="E598" s="7"/>
      <c r="F598" s="7"/>
    </row>
    <row r="599">
      <c r="D599" s="7"/>
      <c r="E599" s="7"/>
      <c r="F599" s="7"/>
    </row>
    <row r="600">
      <c r="D600" s="7"/>
      <c r="E600" s="7"/>
      <c r="F600" s="7"/>
    </row>
    <row r="601">
      <c r="D601" s="7"/>
      <c r="E601" s="7"/>
      <c r="F601" s="7"/>
    </row>
    <row r="602">
      <c r="D602" s="7"/>
      <c r="E602" s="7"/>
      <c r="F602" s="7"/>
    </row>
    <row r="603">
      <c r="D603" s="7"/>
      <c r="E603" s="7"/>
      <c r="F603" s="7"/>
    </row>
    <row r="604">
      <c r="D604" s="7"/>
      <c r="E604" s="7"/>
      <c r="F604" s="7"/>
    </row>
    <row r="605">
      <c r="D605" s="7"/>
      <c r="E605" s="7"/>
      <c r="F605" s="7"/>
    </row>
    <row r="606">
      <c r="D606" s="7"/>
      <c r="E606" s="7"/>
      <c r="F606" s="7"/>
    </row>
    <row r="607">
      <c r="D607" s="7"/>
      <c r="E607" s="7"/>
      <c r="F607" s="7"/>
    </row>
    <row r="608">
      <c r="D608" s="7"/>
      <c r="E608" s="7"/>
      <c r="F608" s="7"/>
    </row>
    <row r="609">
      <c r="D609" s="7"/>
      <c r="E609" s="7"/>
      <c r="F609" s="7"/>
    </row>
    <row r="610">
      <c r="D610" s="7"/>
      <c r="E610" s="7"/>
      <c r="F610" s="7"/>
    </row>
    <row r="611">
      <c r="D611" s="7"/>
      <c r="E611" s="7"/>
      <c r="F611" s="7"/>
    </row>
    <row r="612">
      <c r="D612" s="7"/>
      <c r="E612" s="7"/>
      <c r="F612" s="7"/>
    </row>
    <row r="613">
      <c r="D613" s="7"/>
      <c r="E613" s="7"/>
      <c r="F613" s="7"/>
    </row>
    <row r="614">
      <c r="D614" s="7"/>
      <c r="E614" s="7"/>
      <c r="F614" s="7"/>
    </row>
    <row r="615">
      <c r="D615" s="7"/>
      <c r="E615" s="7"/>
      <c r="F615" s="7"/>
    </row>
    <row r="616">
      <c r="D616" s="7"/>
      <c r="E616" s="7"/>
      <c r="F616" s="7"/>
    </row>
    <row r="617">
      <c r="D617" s="7"/>
      <c r="E617" s="7"/>
      <c r="F617" s="7"/>
    </row>
    <row r="618">
      <c r="D618" s="7"/>
      <c r="E618" s="7"/>
      <c r="F618" s="7"/>
    </row>
    <row r="619">
      <c r="D619" s="7"/>
      <c r="E619" s="7"/>
      <c r="F619" s="7"/>
    </row>
    <row r="620">
      <c r="D620" s="7"/>
      <c r="E620" s="7"/>
      <c r="F620" s="7"/>
    </row>
    <row r="621">
      <c r="D621" s="7"/>
      <c r="E621" s="7"/>
      <c r="F621" s="7"/>
    </row>
    <row r="622">
      <c r="D622" s="7"/>
      <c r="E622" s="7"/>
      <c r="F622" s="7"/>
    </row>
    <row r="623">
      <c r="D623" s="7"/>
      <c r="E623" s="7"/>
      <c r="F623" s="7"/>
    </row>
    <row r="624">
      <c r="D624" s="7"/>
      <c r="E624" s="7"/>
      <c r="F624" s="7"/>
    </row>
    <row r="625">
      <c r="D625" s="7"/>
      <c r="E625" s="7"/>
      <c r="F625" s="7"/>
    </row>
    <row r="626">
      <c r="D626" s="7"/>
      <c r="E626" s="7"/>
      <c r="F626" s="7"/>
    </row>
    <row r="627">
      <c r="D627" s="7"/>
      <c r="E627" s="7"/>
      <c r="F627" s="7"/>
    </row>
    <row r="628">
      <c r="D628" s="7"/>
      <c r="E628" s="7"/>
      <c r="F628" s="7"/>
    </row>
    <row r="629">
      <c r="D629" s="7"/>
      <c r="E629" s="7"/>
      <c r="F629" s="7"/>
    </row>
    <row r="630">
      <c r="D630" s="7"/>
      <c r="E630" s="7"/>
      <c r="F630" s="7"/>
    </row>
    <row r="631">
      <c r="D631" s="7"/>
      <c r="E631" s="7"/>
      <c r="F631" s="7"/>
    </row>
    <row r="632">
      <c r="D632" s="7"/>
      <c r="E632" s="7"/>
      <c r="F632" s="7"/>
    </row>
    <row r="633">
      <c r="D633" s="7"/>
      <c r="E633" s="7"/>
      <c r="F633" s="7"/>
    </row>
    <row r="634">
      <c r="D634" s="7"/>
      <c r="E634" s="7"/>
      <c r="F634" s="7"/>
    </row>
    <row r="635">
      <c r="D635" s="7"/>
      <c r="E635" s="7"/>
      <c r="F635" s="7"/>
    </row>
    <row r="636">
      <c r="D636" s="7"/>
      <c r="E636" s="7"/>
      <c r="F636" s="7"/>
    </row>
    <row r="637">
      <c r="D637" s="7"/>
      <c r="E637" s="7"/>
      <c r="F637" s="7"/>
    </row>
    <row r="638">
      <c r="D638" s="7"/>
      <c r="E638" s="7"/>
      <c r="F638" s="7"/>
    </row>
    <row r="639">
      <c r="D639" s="7"/>
      <c r="E639" s="7"/>
      <c r="F639" s="7"/>
    </row>
    <row r="640">
      <c r="D640" s="7"/>
      <c r="E640" s="7"/>
      <c r="F640" s="7"/>
    </row>
    <row r="641">
      <c r="D641" s="7"/>
      <c r="E641" s="7"/>
      <c r="F641" s="7"/>
    </row>
    <row r="642">
      <c r="D642" s="7"/>
      <c r="E642" s="7"/>
      <c r="F642" s="7"/>
    </row>
    <row r="643">
      <c r="D643" s="7"/>
      <c r="E643" s="7"/>
      <c r="F643" s="7"/>
    </row>
    <row r="644">
      <c r="D644" s="7"/>
      <c r="E644" s="7"/>
      <c r="F644" s="7"/>
    </row>
    <row r="645">
      <c r="D645" s="7"/>
      <c r="E645" s="7"/>
      <c r="F645" s="7"/>
    </row>
    <row r="646">
      <c r="D646" s="7"/>
      <c r="E646" s="7"/>
      <c r="F646" s="7"/>
    </row>
    <row r="647">
      <c r="D647" s="7"/>
      <c r="E647" s="7"/>
      <c r="F647" s="7"/>
    </row>
    <row r="648">
      <c r="D648" s="7"/>
      <c r="E648" s="7"/>
      <c r="F648" s="7"/>
    </row>
    <row r="649">
      <c r="D649" s="7"/>
      <c r="E649" s="7"/>
      <c r="F649" s="7"/>
    </row>
    <row r="650">
      <c r="D650" s="7"/>
      <c r="E650" s="7"/>
      <c r="F650" s="7"/>
    </row>
    <row r="651">
      <c r="D651" s="7"/>
      <c r="E651" s="7"/>
      <c r="F651" s="7"/>
    </row>
    <row r="652">
      <c r="D652" s="7"/>
      <c r="E652" s="7"/>
      <c r="F652" s="7"/>
    </row>
    <row r="653">
      <c r="D653" s="7"/>
      <c r="E653" s="7"/>
      <c r="F653" s="7"/>
    </row>
    <row r="654">
      <c r="D654" s="7"/>
      <c r="E654" s="7"/>
      <c r="F654" s="7"/>
    </row>
    <row r="655">
      <c r="D655" s="7"/>
      <c r="E655" s="7"/>
      <c r="F655" s="7"/>
    </row>
    <row r="656">
      <c r="D656" s="7"/>
      <c r="E656" s="7"/>
      <c r="F656" s="7"/>
    </row>
    <row r="657">
      <c r="D657" s="7"/>
      <c r="E657" s="7"/>
      <c r="F657" s="7"/>
    </row>
    <row r="658">
      <c r="D658" s="7"/>
      <c r="E658" s="7"/>
      <c r="F658" s="7"/>
    </row>
    <row r="659">
      <c r="D659" s="7"/>
      <c r="E659" s="7"/>
      <c r="F659" s="7"/>
    </row>
    <row r="660">
      <c r="D660" s="7"/>
      <c r="E660" s="7"/>
      <c r="F660" s="7"/>
    </row>
    <row r="661">
      <c r="D661" s="7"/>
      <c r="E661" s="7"/>
      <c r="F661" s="7"/>
    </row>
    <row r="662">
      <c r="D662" s="7"/>
      <c r="E662" s="7"/>
      <c r="F662" s="7"/>
    </row>
    <row r="663">
      <c r="D663" s="7"/>
      <c r="E663" s="7"/>
      <c r="F663" s="7"/>
    </row>
    <row r="664">
      <c r="D664" s="7"/>
      <c r="E664" s="7"/>
      <c r="F664" s="7"/>
    </row>
    <row r="665">
      <c r="D665" s="7"/>
      <c r="E665" s="7"/>
      <c r="F665" s="7"/>
    </row>
    <row r="666">
      <c r="D666" s="7"/>
      <c r="E666" s="7"/>
      <c r="F666" s="7"/>
    </row>
    <row r="667">
      <c r="D667" s="7"/>
      <c r="E667" s="7"/>
      <c r="F667" s="7"/>
    </row>
    <row r="668">
      <c r="D668" s="7"/>
      <c r="E668" s="7"/>
      <c r="F668" s="7"/>
    </row>
    <row r="669">
      <c r="D669" s="7"/>
      <c r="E669" s="7"/>
      <c r="F669" s="7"/>
    </row>
    <row r="670">
      <c r="D670" s="7"/>
      <c r="E670" s="7"/>
      <c r="F670" s="7"/>
    </row>
    <row r="671">
      <c r="D671" s="7"/>
      <c r="E671" s="7"/>
      <c r="F671" s="7"/>
    </row>
    <row r="672">
      <c r="D672" s="7"/>
      <c r="E672" s="7"/>
      <c r="F672" s="7"/>
    </row>
    <row r="673">
      <c r="D673" s="7"/>
      <c r="E673" s="7"/>
      <c r="F673" s="7"/>
    </row>
    <row r="674">
      <c r="D674" s="7"/>
      <c r="E674" s="7"/>
      <c r="F674" s="7"/>
    </row>
    <row r="675">
      <c r="D675" s="7"/>
      <c r="E675" s="7"/>
      <c r="F675" s="7"/>
    </row>
    <row r="676">
      <c r="D676" s="7"/>
      <c r="E676" s="7"/>
      <c r="F676" s="7"/>
    </row>
    <row r="677">
      <c r="D677" s="7"/>
      <c r="E677" s="7"/>
      <c r="F677" s="7"/>
    </row>
    <row r="678">
      <c r="D678" s="7"/>
      <c r="E678" s="7"/>
      <c r="F678" s="7"/>
    </row>
    <row r="679">
      <c r="D679" s="7"/>
      <c r="E679" s="7"/>
      <c r="F679" s="7"/>
    </row>
    <row r="680">
      <c r="D680" s="7"/>
      <c r="E680" s="7"/>
      <c r="F680" s="7"/>
    </row>
    <row r="681">
      <c r="D681" s="7"/>
      <c r="E681" s="7"/>
      <c r="F681" s="7"/>
    </row>
    <row r="682">
      <c r="D682" s="7"/>
      <c r="E682" s="7"/>
      <c r="F682" s="7"/>
    </row>
    <row r="683">
      <c r="D683" s="7"/>
      <c r="E683" s="7"/>
      <c r="F683" s="7"/>
    </row>
    <row r="684">
      <c r="D684" s="7"/>
      <c r="E684" s="7"/>
      <c r="F684" s="7"/>
    </row>
    <row r="685">
      <c r="D685" s="7"/>
      <c r="E685" s="7"/>
      <c r="F685" s="7"/>
    </row>
    <row r="686">
      <c r="D686" s="7"/>
      <c r="E686" s="7"/>
      <c r="F686" s="7"/>
    </row>
    <row r="687">
      <c r="D687" s="7"/>
      <c r="E687" s="7"/>
      <c r="F687" s="7"/>
    </row>
    <row r="688">
      <c r="D688" s="7"/>
      <c r="E688" s="7"/>
      <c r="F688" s="7"/>
    </row>
    <row r="689">
      <c r="D689" s="7"/>
      <c r="E689" s="7"/>
      <c r="F689" s="7"/>
    </row>
    <row r="690">
      <c r="D690" s="7"/>
      <c r="E690" s="7"/>
      <c r="F690" s="7"/>
    </row>
    <row r="691">
      <c r="D691" s="7"/>
      <c r="E691" s="7"/>
      <c r="F691" s="7"/>
    </row>
    <row r="692">
      <c r="D692" s="7"/>
      <c r="E692" s="7"/>
      <c r="F692" s="7"/>
    </row>
    <row r="693">
      <c r="D693" s="7"/>
      <c r="E693" s="7"/>
      <c r="F693" s="7"/>
    </row>
    <row r="694">
      <c r="D694" s="7"/>
      <c r="E694" s="7"/>
      <c r="F694" s="7"/>
    </row>
    <row r="695">
      <c r="D695" s="7"/>
      <c r="E695" s="7"/>
      <c r="F695" s="7"/>
    </row>
    <row r="696">
      <c r="D696" s="7"/>
      <c r="E696" s="7"/>
      <c r="F696" s="7"/>
    </row>
    <row r="697">
      <c r="D697" s="7"/>
      <c r="E697" s="7"/>
      <c r="F697" s="7"/>
    </row>
    <row r="698">
      <c r="D698" s="7"/>
      <c r="E698" s="7"/>
      <c r="F698" s="7"/>
    </row>
    <row r="699">
      <c r="D699" s="7"/>
      <c r="E699" s="7"/>
      <c r="F699" s="7"/>
    </row>
    <row r="700">
      <c r="D700" s="7"/>
      <c r="E700" s="7"/>
      <c r="F700" s="7"/>
    </row>
    <row r="701">
      <c r="D701" s="7"/>
      <c r="E701" s="7"/>
      <c r="F701" s="7"/>
    </row>
    <row r="702">
      <c r="D702" s="7"/>
      <c r="E702" s="7"/>
      <c r="F702" s="7"/>
    </row>
    <row r="703">
      <c r="D703" s="7"/>
      <c r="E703" s="7"/>
      <c r="F703" s="7"/>
    </row>
    <row r="704">
      <c r="D704" s="7"/>
      <c r="E704" s="7"/>
      <c r="F704" s="7"/>
    </row>
    <row r="705">
      <c r="D705" s="7"/>
      <c r="E705" s="7"/>
      <c r="F705" s="7"/>
    </row>
    <row r="706">
      <c r="D706" s="7"/>
      <c r="E706" s="7"/>
      <c r="F706" s="7"/>
    </row>
    <row r="707">
      <c r="D707" s="7"/>
      <c r="E707" s="7"/>
      <c r="F707" s="7"/>
    </row>
    <row r="708">
      <c r="D708" s="7"/>
      <c r="E708" s="7"/>
      <c r="F708" s="7"/>
    </row>
    <row r="709">
      <c r="D709" s="7"/>
      <c r="E709" s="7"/>
      <c r="F709" s="7"/>
    </row>
    <row r="710">
      <c r="D710" s="7"/>
      <c r="E710" s="7"/>
      <c r="F710" s="7"/>
    </row>
    <row r="711">
      <c r="D711" s="7"/>
      <c r="E711" s="7"/>
      <c r="F711" s="7"/>
    </row>
    <row r="712">
      <c r="D712" s="7"/>
      <c r="E712" s="7"/>
      <c r="F712" s="7"/>
    </row>
    <row r="713">
      <c r="D713" s="7"/>
      <c r="E713" s="7"/>
      <c r="F713" s="7"/>
    </row>
    <row r="714">
      <c r="D714" s="7"/>
      <c r="E714" s="7"/>
      <c r="F714" s="7"/>
    </row>
    <row r="715">
      <c r="D715" s="7"/>
      <c r="E715" s="7"/>
      <c r="F715" s="7"/>
    </row>
    <row r="716">
      <c r="D716" s="7"/>
      <c r="E716" s="7"/>
      <c r="F716" s="7"/>
    </row>
    <row r="717">
      <c r="D717" s="7"/>
      <c r="E717" s="7"/>
      <c r="F717" s="7"/>
    </row>
    <row r="718">
      <c r="D718" s="7"/>
      <c r="E718" s="7"/>
      <c r="F718" s="7"/>
    </row>
    <row r="719">
      <c r="D719" s="7"/>
      <c r="E719" s="7"/>
      <c r="F719" s="7"/>
    </row>
    <row r="720">
      <c r="D720" s="7"/>
      <c r="E720" s="7"/>
      <c r="F720" s="7"/>
    </row>
    <row r="721">
      <c r="D721" s="7"/>
      <c r="E721" s="7"/>
      <c r="F721" s="7"/>
    </row>
    <row r="722">
      <c r="D722" s="7"/>
      <c r="E722" s="7"/>
      <c r="F722" s="7"/>
    </row>
    <row r="723">
      <c r="D723" s="7"/>
      <c r="E723" s="7"/>
      <c r="F723" s="7"/>
    </row>
    <row r="724">
      <c r="D724" s="7"/>
      <c r="E724" s="7"/>
      <c r="F724" s="7"/>
    </row>
    <row r="725">
      <c r="D725" s="7"/>
      <c r="E725" s="7"/>
      <c r="F725" s="7"/>
    </row>
    <row r="726">
      <c r="D726" s="7"/>
      <c r="E726" s="7"/>
      <c r="F726" s="7"/>
    </row>
    <row r="727">
      <c r="D727" s="7"/>
      <c r="E727" s="7"/>
      <c r="F727" s="7"/>
    </row>
    <row r="728">
      <c r="D728" s="7"/>
      <c r="E728" s="7"/>
      <c r="F728" s="7"/>
    </row>
    <row r="729">
      <c r="D729" s="7"/>
      <c r="E729" s="7"/>
      <c r="F729" s="7"/>
    </row>
    <row r="730">
      <c r="D730" s="7"/>
      <c r="E730" s="7"/>
      <c r="F730" s="7"/>
    </row>
    <row r="731">
      <c r="D731" s="7"/>
      <c r="E731" s="7"/>
      <c r="F731" s="7"/>
    </row>
    <row r="732">
      <c r="D732" s="7"/>
      <c r="E732" s="7"/>
      <c r="F732" s="7"/>
    </row>
    <row r="733">
      <c r="D733" s="7"/>
      <c r="E733" s="7"/>
      <c r="F733" s="7"/>
    </row>
    <row r="734">
      <c r="D734" s="7"/>
      <c r="E734" s="7"/>
      <c r="F734" s="7"/>
    </row>
    <row r="735">
      <c r="D735" s="7"/>
      <c r="E735" s="7"/>
      <c r="F735" s="7"/>
    </row>
    <row r="736">
      <c r="D736" s="7"/>
      <c r="E736" s="7"/>
      <c r="F736" s="7"/>
    </row>
    <row r="737">
      <c r="D737" s="7"/>
      <c r="E737" s="7"/>
      <c r="F737" s="7"/>
    </row>
    <row r="738">
      <c r="D738" s="7"/>
      <c r="E738" s="7"/>
      <c r="F738" s="7"/>
    </row>
    <row r="739">
      <c r="D739" s="7"/>
      <c r="E739" s="7"/>
      <c r="F739" s="7"/>
    </row>
    <row r="740">
      <c r="D740" s="7"/>
      <c r="E740" s="7"/>
      <c r="F740" s="7"/>
    </row>
    <row r="741">
      <c r="D741" s="7"/>
      <c r="E741" s="7"/>
      <c r="F741" s="7"/>
    </row>
    <row r="742">
      <c r="D742" s="7"/>
      <c r="E742" s="7"/>
      <c r="F742" s="7"/>
    </row>
    <row r="743">
      <c r="D743" s="7"/>
      <c r="E743" s="7"/>
      <c r="F743" s="7"/>
    </row>
    <row r="744">
      <c r="D744" s="7"/>
      <c r="E744" s="7"/>
      <c r="F744" s="7"/>
    </row>
    <row r="745">
      <c r="D745" s="7"/>
      <c r="E745" s="7"/>
      <c r="F745" s="7"/>
    </row>
    <row r="746">
      <c r="D746" s="7"/>
      <c r="E746" s="7"/>
      <c r="F746" s="7"/>
    </row>
    <row r="747">
      <c r="D747" s="7"/>
      <c r="E747" s="7"/>
      <c r="F747" s="7"/>
    </row>
    <row r="748">
      <c r="D748" s="7"/>
      <c r="E748" s="7"/>
      <c r="F748" s="7"/>
    </row>
    <row r="749">
      <c r="D749" s="7"/>
      <c r="E749" s="7"/>
      <c r="F749" s="7"/>
    </row>
    <row r="750">
      <c r="D750" s="7"/>
      <c r="E750" s="7"/>
      <c r="F750" s="7"/>
    </row>
    <row r="751">
      <c r="D751" s="7"/>
      <c r="E751" s="7"/>
      <c r="F751" s="7"/>
    </row>
    <row r="752">
      <c r="D752" s="7"/>
      <c r="E752" s="7"/>
      <c r="F752" s="7"/>
    </row>
    <row r="753">
      <c r="D753" s="7"/>
      <c r="E753" s="7"/>
      <c r="F753" s="7"/>
    </row>
    <row r="754">
      <c r="D754" s="7"/>
      <c r="E754" s="7"/>
      <c r="F754" s="7"/>
    </row>
    <row r="755">
      <c r="D755" s="7"/>
      <c r="E755" s="7"/>
      <c r="F755" s="7"/>
    </row>
    <row r="756">
      <c r="D756" s="7"/>
      <c r="E756" s="7"/>
      <c r="F756" s="7"/>
    </row>
    <row r="757">
      <c r="D757" s="7"/>
      <c r="E757" s="7"/>
      <c r="F757" s="7"/>
    </row>
    <row r="758">
      <c r="D758" s="7"/>
      <c r="E758" s="7"/>
      <c r="F758" s="7"/>
    </row>
    <row r="759">
      <c r="D759" s="7"/>
      <c r="E759" s="7"/>
      <c r="F759" s="7"/>
    </row>
    <row r="760">
      <c r="D760" s="7"/>
      <c r="E760" s="7"/>
      <c r="F760" s="7"/>
    </row>
    <row r="761">
      <c r="D761" s="7"/>
      <c r="E761" s="7"/>
      <c r="F761" s="7"/>
    </row>
    <row r="762">
      <c r="D762" s="7"/>
      <c r="E762" s="7"/>
      <c r="F762" s="7"/>
    </row>
    <row r="763">
      <c r="D763" s="7"/>
      <c r="E763" s="7"/>
      <c r="F763" s="7"/>
    </row>
    <row r="764">
      <c r="D764" s="7"/>
      <c r="E764" s="7"/>
      <c r="F764" s="7"/>
    </row>
    <row r="765">
      <c r="D765" s="7"/>
      <c r="E765" s="7"/>
      <c r="F765" s="7"/>
    </row>
    <row r="766">
      <c r="D766" s="7"/>
      <c r="E766" s="7"/>
      <c r="F766" s="7"/>
    </row>
    <row r="767">
      <c r="D767" s="7"/>
      <c r="E767" s="7"/>
      <c r="F767" s="7"/>
    </row>
    <row r="768">
      <c r="D768" s="7"/>
      <c r="E768" s="7"/>
      <c r="F768" s="7"/>
    </row>
    <row r="769">
      <c r="D769" s="7"/>
      <c r="E769" s="7"/>
      <c r="F769" s="7"/>
    </row>
    <row r="770">
      <c r="D770" s="7"/>
      <c r="E770" s="7"/>
      <c r="F770" s="7"/>
    </row>
    <row r="771">
      <c r="D771" s="7"/>
      <c r="E771" s="7"/>
      <c r="F771" s="7"/>
    </row>
    <row r="772">
      <c r="D772" s="7"/>
      <c r="E772" s="7"/>
      <c r="F772" s="7"/>
    </row>
    <row r="773">
      <c r="D773" s="7"/>
      <c r="E773" s="7"/>
      <c r="F773" s="7"/>
    </row>
    <row r="774">
      <c r="D774" s="7"/>
      <c r="E774" s="7"/>
      <c r="F774" s="7"/>
    </row>
    <row r="775">
      <c r="D775" s="7"/>
      <c r="E775" s="7"/>
      <c r="F775" s="7"/>
    </row>
    <row r="776">
      <c r="D776" s="7"/>
      <c r="E776" s="7"/>
      <c r="F776" s="7"/>
    </row>
    <row r="777">
      <c r="D777" s="7"/>
      <c r="E777" s="7"/>
      <c r="F777" s="7"/>
    </row>
    <row r="778">
      <c r="D778" s="7"/>
      <c r="E778" s="7"/>
      <c r="F778" s="7"/>
    </row>
    <row r="779">
      <c r="D779" s="7"/>
      <c r="E779" s="7"/>
      <c r="F779" s="7"/>
    </row>
    <row r="780">
      <c r="D780" s="7"/>
      <c r="E780" s="7"/>
      <c r="F780" s="7"/>
    </row>
    <row r="781">
      <c r="D781" s="7"/>
      <c r="E781" s="7"/>
      <c r="F781" s="7"/>
    </row>
    <row r="782">
      <c r="D782" s="7"/>
      <c r="E782" s="7"/>
      <c r="F782" s="7"/>
    </row>
    <row r="783">
      <c r="D783" s="7"/>
      <c r="E783" s="7"/>
      <c r="F783" s="7"/>
    </row>
    <row r="784">
      <c r="D784" s="7"/>
      <c r="E784" s="7"/>
      <c r="F784" s="7"/>
    </row>
    <row r="785">
      <c r="D785" s="7"/>
      <c r="E785" s="7"/>
      <c r="F785" s="7"/>
    </row>
    <row r="786">
      <c r="D786" s="7"/>
      <c r="E786" s="7"/>
      <c r="F786" s="7"/>
    </row>
    <row r="787">
      <c r="D787" s="7"/>
      <c r="E787" s="7"/>
      <c r="F787" s="7"/>
    </row>
    <row r="788">
      <c r="D788" s="7"/>
      <c r="E788" s="7"/>
      <c r="F788" s="7"/>
    </row>
    <row r="789">
      <c r="D789" s="7"/>
      <c r="E789" s="7"/>
      <c r="F789" s="7"/>
    </row>
    <row r="790">
      <c r="D790" s="7"/>
      <c r="E790" s="7"/>
      <c r="F790" s="7"/>
    </row>
    <row r="791">
      <c r="D791" s="7"/>
      <c r="E791" s="7"/>
      <c r="F791" s="7"/>
    </row>
    <row r="792">
      <c r="D792" s="7"/>
      <c r="E792" s="7"/>
      <c r="F792" s="7"/>
    </row>
    <row r="793">
      <c r="D793" s="7"/>
      <c r="E793" s="7"/>
      <c r="F793" s="7"/>
    </row>
    <row r="794">
      <c r="D794" s="7"/>
      <c r="E794" s="7"/>
      <c r="F794" s="7"/>
    </row>
    <row r="795">
      <c r="D795" s="7"/>
      <c r="E795" s="7"/>
      <c r="F795" s="7"/>
    </row>
    <row r="796">
      <c r="D796" s="7"/>
      <c r="E796" s="7"/>
      <c r="F796" s="7"/>
    </row>
    <row r="797">
      <c r="D797" s="7"/>
      <c r="E797" s="7"/>
      <c r="F797" s="7"/>
    </row>
    <row r="798">
      <c r="D798" s="7"/>
      <c r="E798" s="7"/>
      <c r="F798" s="7"/>
    </row>
    <row r="799">
      <c r="D799" s="7"/>
      <c r="E799" s="7"/>
      <c r="F799" s="7"/>
    </row>
    <row r="800">
      <c r="D800" s="7"/>
      <c r="E800" s="7"/>
      <c r="F800" s="7"/>
    </row>
    <row r="801">
      <c r="D801" s="7"/>
      <c r="E801" s="7"/>
      <c r="F801" s="7"/>
    </row>
    <row r="802">
      <c r="D802" s="7"/>
      <c r="E802" s="7"/>
      <c r="F802" s="7"/>
    </row>
    <row r="803">
      <c r="D803" s="7"/>
      <c r="E803" s="7"/>
      <c r="F803" s="7"/>
    </row>
    <row r="804">
      <c r="D804" s="7"/>
      <c r="E804" s="7"/>
      <c r="F804" s="7"/>
    </row>
    <row r="805">
      <c r="D805" s="7"/>
      <c r="E805" s="7"/>
      <c r="F805" s="7"/>
    </row>
    <row r="806">
      <c r="D806" s="7"/>
      <c r="E806" s="7"/>
      <c r="F806" s="7"/>
    </row>
    <row r="807">
      <c r="D807" s="7"/>
      <c r="E807" s="7"/>
      <c r="F807" s="7"/>
    </row>
    <row r="808">
      <c r="D808" s="7"/>
      <c r="E808" s="7"/>
      <c r="F808" s="7"/>
    </row>
    <row r="809">
      <c r="D809" s="7"/>
      <c r="E809" s="7"/>
      <c r="F809" s="7"/>
    </row>
    <row r="810">
      <c r="D810" s="7"/>
      <c r="E810" s="7"/>
      <c r="F810" s="7"/>
    </row>
    <row r="811">
      <c r="D811" s="7"/>
      <c r="E811" s="7"/>
      <c r="F811" s="7"/>
    </row>
    <row r="812">
      <c r="D812" s="7"/>
      <c r="E812" s="7"/>
      <c r="F812" s="7"/>
    </row>
    <row r="813">
      <c r="D813" s="7"/>
      <c r="E813" s="7"/>
      <c r="F813" s="7"/>
    </row>
    <row r="814">
      <c r="D814" s="7"/>
      <c r="E814" s="7"/>
      <c r="F814" s="7"/>
    </row>
    <row r="815">
      <c r="D815" s="7"/>
      <c r="E815" s="7"/>
      <c r="F815" s="7"/>
    </row>
    <row r="816">
      <c r="D816" s="7"/>
      <c r="E816" s="7"/>
      <c r="F816" s="7"/>
    </row>
    <row r="817">
      <c r="D817" s="7"/>
      <c r="E817" s="7"/>
      <c r="F817" s="7"/>
    </row>
    <row r="818">
      <c r="D818" s="7"/>
      <c r="E818" s="7"/>
      <c r="F818" s="7"/>
    </row>
    <row r="819">
      <c r="D819" s="7"/>
      <c r="E819" s="7"/>
      <c r="F819" s="7"/>
    </row>
    <row r="820">
      <c r="D820" s="7"/>
      <c r="E820" s="7"/>
      <c r="F820" s="7"/>
    </row>
    <row r="821">
      <c r="D821" s="7"/>
      <c r="E821" s="7"/>
      <c r="F821" s="7"/>
    </row>
    <row r="822">
      <c r="D822" s="7"/>
      <c r="E822" s="7"/>
      <c r="F822" s="7"/>
    </row>
    <row r="823">
      <c r="D823" s="7"/>
      <c r="E823" s="7"/>
      <c r="F823" s="7"/>
    </row>
    <row r="824">
      <c r="D824" s="7"/>
      <c r="E824" s="7"/>
      <c r="F824" s="7"/>
    </row>
    <row r="825">
      <c r="D825" s="7"/>
      <c r="E825" s="7"/>
      <c r="F825" s="7"/>
    </row>
    <row r="826">
      <c r="D826" s="7"/>
      <c r="E826" s="7"/>
      <c r="F826" s="7"/>
    </row>
    <row r="827">
      <c r="D827" s="7"/>
      <c r="E827" s="7"/>
      <c r="F827" s="7"/>
    </row>
    <row r="828">
      <c r="D828" s="7"/>
      <c r="E828" s="7"/>
      <c r="F828" s="7"/>
    </row>
    <row r="829">
      <c r="D829" s="7"/>
      <c r="E829" s="7"/>
      <c r="F829" s="7"/>
    </row>
    <row r="830">
      <c r="D830" s="7"/>
      <c r="E830" s="7"/>
      <c r="F830" s="7"/>
    </row>
    <row r="831">
      <c r="D831" s="7"/>
      <c r="E831" s="7"/>
      <c r="F831" s="7"/>
    </row>
    <row r="832">
      <c r="D832" s="7"/>
      <c r="E832" s="7"/>
      <c r="F832" s="7"/>
    </row>
    <row r="833">
      <c r="D833" s="7"/>
      <c r="E833" s="7"/>
      <c r="F833" s="7"/>
    </row>
    <row r="834">
      <c r="D834" s="7"/>
      <c r="E834" s="7"/>
      <c r="F834" s="7"/>
    </row>
    <row r="835">
      <c r="D835" s="7"/>
      <c r="E835" s="7"/>
      <c r="F835" s="7"/>
    </row>
    <row r="836">
      <c r="D836" s="7"/>
      <c r="E836" s="7"/>
      <c r="F836" s="7"/>
    </row>
    <row r="837">
      <c r="D837" s="7"/>
      <c r="E837" s="7"/>
      <c r="F837" s="7"/>
    </row>
    <row r="838">
      <c r="D838" s="7"/>
      <c r="E838" s="7"/>
      <c r="F838" s="7"/>
    </row>
    <row r="839">
      <c r="D839" s="7"/>
      <c r="E839" s="7"/>
      <c r="F839" s="7"/>
    </row>
    <row r="840">
      <c r="D840" s="7"/>
      <c r="E840" s="7"/>
      <c r="F840" s="7"/>
    </row>
    <row r="841">
      <c r="D841" s="7"/>
      <c r="E841" s="7"/>
      <c r="F841" s="7"/>
    </row>
    <row r="842">
      <c r="D842" s="7"/>
      <c r="E842" s="7"/>
      <c r="F842" s="7"/>
    </row>
    <row r="843">
      <c r="D843" s="7"/>
      <c r="E843" s="7"/>
      <c r="F843" s="7"/>
    </row>
    <row r="844">
      <c r="D844" s="7"/>
      <c r="E844" s="7"/>
      <c r="F844" s="7"/>
    </row>
    <row r="845">
      <c r="D845" s="7"/>
      <c r="E845" s="7"/>
      <c r="F845" s="7"/>
    </row>
    <row r="846">
      <c r="D846" s="7"/>
      <c r="E846" s="7"/>
      <c r="F846" s="7"/>
    </row>
    <row r="847">
      <c r="D847" s="7"/>
      <c r="E847" s="7"/>
      <c r="F847" s="7"/>
    </row>
    <row r="848">
      <c r="D848" s="7"/>
      <c r="E848" s="7"/>
      <c r="F848" s="7"/>
    </row>
    <row r="849">
      <c r="D849" s="7"/>
      <c r="E849" s="7"/>
      <c r="F849" s="7"/>
    </row>
    <row r="850">
      <c r="D850" s="7"/>
      <c r="E850" s="7"/>
      <c r="F850" s="7"/>
    </row>
    <row r="851">
      <c r="D851" s="7"/>
      <c r="E851" s="7"/>
      <c r="F851" s="7"/>
    </row>
    <row r="852">
      <c r="D852" s="7"/>
      <c r="E852" s="7"/>
      <c r="F852" s="7"/>
    </row>
    <row r="853">
      <c r="D853" s="7"/>
      <c r="E853" s="7"/>
      <c r="F853" s="7"/>
    </row>
    <row r="854">
      <c r="D854" s="7"/>
      <c r="E854" s="7"/>
      <c r="F854" s="7"/>
    </row>
    <row r="855">
      <c r="D855" s="7"/>
      <c r="E855" s="7"/>
      <c r="F855" s="7"/>
    </row>
    <row r="856">
      <c r="D856" s="7"/>
      <c r="E856" s="7"/>
      <c r="F856" s="7"/>
    </row>
    <row r="857">
      <c r="D857" s="7"/>
      <c r="E857" s="7"/>
      <c r="F857" s="7"/>
    </row>
    <row r="858">
      <c r="D858" s="7"/>
      <c r="E858" s="7"/>
      <c r="F858" s="7"/>
    </row>
    <row r="859">
      <c r="D859" s="7"/>
      <c r="E859" s="7"/>
      <c r="F859" s="7"/>
    </row>
    <row r="860">
      <c r="D860" s="7"/>
      <c r="E860" s="7"/>
      <c r="F860" s="7"/>
    </row>
    <row r="861">
      <c r="D861" s="7"/>
      <c r="E861" s="7"/>
      <c r="F861" s="7"/>
    </row>
    <row r="862">
      <c r="D862" s="7"/>
      <c r="E862" s="7"/>
      <c r="F862" s="7"/>
    </row>
    <row r="863">
      <c r="D863" s="7"/>
      <c r="E863" s="7"/>
      <c r="F863" s="7"/>
    </row>
    <row r="864">
      <c r="D864" s="7"/>
      <c r="E864" s="7"/>
      <c r="F864" s="7"/>
    </row>
    <row r="865">
      <c r="D865" s="7"/>
      <c r="E865" s="7"/>
      <c r="F865" s="7"/>
    </row>
    <row r="866">
      <c r="D866" s="7"/>
      <c r="E866" s="7"/>
      <c r="F866" s="7"/>
    </row>
    <row r="867">
      <c r="D867" s="7"/>
      <c r="E867" s="7"/>
      <c r="F867" s="7"/>
    </row>
    <row r="868">
      <c r="D868" s="7"/>
      <c r="E868" s="7"/>
      <c r="F868" s="7"/>
    </row>
    <row r="869">
      <c r="D869" s="7"/>
      <c r="E869" s="7"/>
      <c r="F869" s="7"/>
    </row>
    <row r="870">
      <c r="D870" s="7"/>
      <c r="E870" s="7"/>
      <c r="F870" s="7"/>
    </row>
    <row r="871">
      <c r="D871" s="7"/>
      <c r="E871" s="7"/>
      <c r="F871" s="7"/>
    </row>
    <row r="872">
      <c r="D872" s="7"/>
      <c r="E872" s="7"/>
      <c r="F872" s="7"/>
    </row>
    <row r="873">
      <c r="D873" s="7"/>
      <c r="E873" s="7"/>
      <c r="F873" s="7"/>
    </row>
    <row r="874">
      <c r="D874" s="7"/>
      <c r="E874" s="7"/>
      <c r="F874" s="7"/>
    </row>
    <row r="875">
      <c r="D875" s="7"/>
      <c r="E875" s="7"/>
      <c r="F875" s="7"/>
    </row>
    <row r="876">
      <c r="D876" s="7"/>
      <c r="E876" s="7"/>
      <c r="F876" s="7"/>
    </row>
    <row r="877">
      <c r="D877" s="7"/>
      <c r="E877" s="7"/>
      <c r="F877" s="7"/>
    </row>
    <row r="878">
      <c r="D878" s="7"/>
      <c r="E878" s="7"/>
      <c r="F878" s="7"/>
    </row>
    <row r="879">
      <c r="D879" s="7"/>
      <c r="E879" s="7"/>
      <c r="F879" s="7"/>
    </row>
    <row r="880">
      <c r="D880" s="7"/>
      <c r="E880" s="7"/>
      <c r="F880" s="7"/>
    </row>
    <row r="881">
      <c r="D881" s="7"/>
      <c r="E881" s="7"/>
      <c r="F881" s="7"/>
    </row>
    <row r="882">
      <c r="D882" s="7"/>
      <c r="E882" s="7"/>
      <c r="F882" s="7"/>
    </row>
    <row r="883">
      <c r="D883" s="7"/>
      <c r="E883" s="7"/>
      <c r="F883" s="7"/>
    </row>
    <row r="884">
      <c r="D884" s="7"/>
      <c r="E884" s="7"/>
      <c r="F884" s="7"/>
    </row>
    <row r="885">
      <c r="D885" s="7"/>
      <c r="E885" s="7"/>
      <c r="F885" s="7"/>
    </row>
    <row r="886">
      <c r="D886" s="7"/>
      <c r="E886" s="7"/>
      <c r="F886" s="7"/>
    </row>
    <row r="887">
      <c r="D887" s="7"/>
      <c r="E887" s="7"/>
      <c r="F887" s="7"/>
    </row>
    <row r="888">
      <c r="D888" s="7"/>
      <c r="E888" s="7"/>
      <c r="F888" s="7"/>
    </row>
    <row r="889">
      <c r="D889" s="7"/>
      <c r="E889" s="7"/>
      <c r="F889" s="7"/>
    </row>
    <row r="890">
      <c r="D890" s="7"/>
      <c r="E890" s="7"/>
      <c r="F890" s="7"/>
    </row>
    <row r="891">
      <c r="D891" s="7"/>
      <c r="E891" s="7"/>
      <c r="F891" s="7"/>
    </row>
    <row r="892">
      <c r="D892" s="7"/>
      <c r="E892" s="7"/>
      <c r="F892" s="7"/>
    </row>
    <row r="893">
      <c r="D893" s="7"/>
      <c r="E893" s="7"/>
      <c r="F893" s="7"/>
    </row>
    <row r="894">
      <c r="D894" s="7"/>
      <c r="E894" s="7"/>
      <c r="F894" s="7"/>
    </row>
    <row r="895">
      <c r="D895" s="7"/>
      <c r="E895" s="7"/>
      <c r="F895" s="7"/>
    </row>
    <row r="896">
      <c r="D896" s="7"/>
      <c r="E896" s="7"/>
      <c r="F896" s="7"/>
    </row>
    <row r="897">
      <c r="D897" s="7"/>
      <c r="E897" s="7"/>
      <c r="F897" s="7"/>
    </row>
    <row r="898">
      <c r="D898" s="7"/>
      <c r="E898" s="7"/>
      <c r="F898" s="7"/>
    </row>
    <row r="899">
      <c r="D899" s="7"/>
      <c r="E899" s="7"/>
      <c r="F899" s="7"/>
    </row>
    <row r="900">
      <c r="D900" s="7"/>
      <c r="E900" s="7"/>
      <c r="F900" s="7"/>
    </row>
    <row r="901">
      <c r="D901" s="7"/>
      <c r="E901" s="7"/>
      <c r="F901" s="7"/>
    </row>
    <row r="902">
      <c r="D902" s="7"/>
      <c r="E902" s="7"/>
      <c r="F902" s="7"/>
    </row>
    <row r="903">
      <c r="D903" s="7"/>
      <c r="E903" s="7"/>
      <c r="F903" s="7"/>
    </row>
    <row r="904">
      <c r="D904" s="7"/>
      <c r="E904" s="7"/>
      <c r="F904" s="7"/>
    </row>
    <row r="905">
      <c r="D905" s="7"/>
      <c r="E905" s="7"/>
      <c r="F905" s="7"/>
    </row>
    <row r="906">
      <c r="D906" s="7"/>
      <c r="E906" s="7"/>
      <c r="F906" s="7"/>
    </row>
    <row r="907">
      <c r="D907" s="7"/>
      <c r="E907" s="7"/>
      <c r="F907" s="7"/>
    </row>
    <row r="908">
      <c r="D908" s="7"/>
      <c r="E908" s="7"/>
      <c r="F908" s="7"/>
    </row>
    <row r="909">
      <c r="D909" s="7"/>
      <c r="E909" s="7"/>
      <c r="F909" s="7"/>
    </row>
    <row r="910">
      <c r="D910" s="7"/>
      <c r="E910" s="7"/>
      <c r="F910" s="7"/>
    </row>
    <row r="911">
      <c r="D911" s="7"/>
      <c r="E911" s="7"/>
      <c r="F911" s="7"/>
    </row>
    <row r="912">
      <c r="D912" s="7"/>
      <c r="E912" s="7"/>
      <c r="F912" s="7"/>
    </row>
    <row r="913">
      <c r="D913" s="7"/>
      <c r="E913" s="7"/>
      <c r="F913" s="7"/>
    </row>
    <row r="914">
      <c r="D914" s="7"/>
      <c r="E914" s="7"/>
      <c r="F914" s="7"/>
    </row>
    <row r="915">
      <c r="D915" s="7"/>
      <c r="E915" s="7"/>
      <c r="F915" s="7"/>
    </row>
    <row r="916">
      <c r="D916" s="7"/>
      <c r="E916" s="7"/>
      <c r="F916" s="7"/>
    </row>
    <row r="917">
      <c r="D917" s="7"/>
      <c r="E917" s="7"/>
      <c r="F917" s="7"/>
    </row>
    <row r="918">
      <c r="D918" s="7"/>
      <c r="E918" s="7"/>
      <c r="F918" s="7"/>
    </row>
    <row r="919">
      <c r="D919" s="7"/>
      <c r="E919" s="7"/>
      <c r="F919" s="7"/>
    </row>
    <row r="920">
      <c r="D920" s="7"/>
      <c r="E920" s="7"/>
      <c r="F920" s="7"/>
    </row>
    <row r="921">
      <c r="D921" s="7"/>
      <c r="E921" s="7"/>
      <c r="F921" s="7"/>
    </row>
    <row r="922">
      <c r="D922" s="7"/>
      <c r="E922" s="7"/>
      <c r="F922" s="7"/>
    </row>
    <row r="923">
      <c r="D923" s="7"/>
      <c r="E923" s="7"/>
      <c r="F923" s="7"/>
    </row>
    <row r="924">
      <c r="D924" s="7"/>
      <c r="E924" s="7"/>
      <c r="F924" s="7"/>
    </row>
    <row r="925">
      <c r="D925" s="7"/>
      <c r="E925" s="7"/>
      <c r="F925" s="7"/>
    </row>
    <row r="926">
      <c r="D926" s="7"/>
      <c r="E926" s="7"/>
      <c r="F926" s="7"/>
    </row>
    <row r="927">
      <c r="D927" s="7"/>
      <c r="E927" s="7"/>
      <c r="F927" s="7"/>
    </row>
    <row r="928">
      <c r="D928" s="7"/>
      <c r="E928" s="7"/>
      <c r="F928" s="7"/>
    </row>
    <row r="929">
      <c r="D929" s="7"/>
      <c r="E929" s="7"/>
      <c r="F929" s="7"/>
    </row>
    <row r="930">
      <c r="D930" s="7"/>
      <c r="E930" s="7"/>
      <c r="F930" s="7"/>
    </row>
    <row r="931">
      <c r="D931" s="7"/>
      <c r="E931" s="7"/>
      <c r="F931" s="7"/>
    </row>
    <row r="932">
      <c r="D932" s="7"/>
      <c r="E932" s="7"/>
      <c r="F932" s="7"/>
    </row>
    <row r="933">
      <c r="D933" s="7"/>
      <c r="E933" s="7"/>
      <c r="F933" s="7"/>
    </row>
    <row r="934">
      <c r="D934" s="7"/>
      <c r="E934" s="7"/>
      <c r="F934" s="7"/>
    </row>
    <row r="935">
      <c r="D935" s="7"/>
      <c r="E935" s="7"/>
      <c r="F935" s="7"/>
    </row>
    <row r="936">
      <c r="D936" s="7"/>
      <c r="E936" s="7"/>
      <c r="F936" s="7"/>
    </row>
    <row r="937">
      <c r="D937" s="7"/>
      <c r="E937" s="7"/>
      <c r="F937" s="7"/>
    </row>
    <row r="938">
      <c r="D938" s="7"/>
      <c r="E938" s="7"/>
      <c r="F938" s="7"/>
    </row>
    <row r="939">
      <c r="D939" s="7"/>
      <c r="E939" s="7"/>
      <c r="F939" s="7"/>
    </row>
    <row r="940">
      <c r="D940" s="7"/>
      <c r="E940" s="7"/>
      <c r="F940" s="7"/>
    </row>
    <row r="941">
      <c r="D941" s="7"/>
      <c r="E941" s="7"/>
      <c r="F941" s="7"/>
    </row>
    <row r="942">
      <c r="D942" s="7"/>
      <c r="E942" s="7"/>
      <c r="F942" s="7"/>
    </row>
    <row r="943">
      <c r="D943" s="7"/>
      <c r="E943" s="7"/>
      <c r="F943" s="7"/>
    </row>
    <row r="944">
      <c r="D944" s="7"/>
      <c r="E944" s="7"/>
      <c r="F944" s="7"/>
    </row>
    <row r="945">
      <c r="D945" s="7"/>
      <c r="E945" s="7"/>
      <c r="F945" s="7"/>
    </row>
    <row r="946">
      <c r="D946" s="7"/>
      <c r="E946" s="7"/>
      <c r="F946" s="7"/>
    </row>
    <row r="947">
      <c r="D947" s="7"/>
      <c r="E947" s="7"/>
      <c r="F947" s="7"/>
    </row>
    <row r="948">
      <c r="D948" s="7"/>
      <c r="E948" s="7"/>
      <c r="F948" s="7"/>
    </row>
    <row r="949">
      <c r="D949" s="7"/>
      <c r="E949" s="7"/>
      <c r="F949" s="7"/>
    </row>
    <row r="950">
      <c r="D950" s="7"/>
      <c r="E950" s="7"/>
      <c r="F950" s="7"/>
    </row>
    <row r="951">
      <c r="D951" s="7"/>
      <c r="E951" s="7"/>
      <c r="F951" s="7"/>
    </row>
    <row r="952">
      <c r="D952" s="7"/>
      <c r="E952" s="7"/>
      <c r="F952" s="7"/>
    </row>
    <row r="953">
      <c r="D953" s="7"/>
      <c r="E953" s="7"/>
      <c r="F953" s="7"/>
    </row>
    <row r="954">
      <c r="D954" s="7"/>
      <c r="E954" s="7"/>
      <c r="F954" s="7"/>
    </row>
    <row r="955">
      <c r="D955" s="7"/>
      <c r="E955" s="7"/>
      <c r="F955" s="7"/>
    </row>
    <row r="956">
      <c r="D956" s="7"/>
      <c r="E956" s="7"/>
      <c r="F956" s="7"/>
    </row>
    <row r="957">
      <c r="D957" s="7"/>
      <c r="E957" s="7"/>
      <c r="F957" s="7"/>
    </row>
    <row r="958">
      <c r="D958" s="7"/>
      <c r="E958" s="7"/>
      <c r="F958" s="7"/>
    </row>
    <row r="959">
      <c r="D959" s="7"/>
      <c r="E959" s="7"/>
      <c r="F959" s="7"/>
    </row>
    <row r="960">
      <c r="D960" s="7"/>
      <c r="E960" s="7"/>
      <c r="F960" s="7"/>
    </row>
    <row r="961">
      <c r="D961" s="7"/>
      <c r="E961" s="7"/>
      <c r="F961" s="7"/>
    </row>
    <row r="962">
      <c r="D962" s="7"/>
      <c r="E962" s="7"/>
      <c r="F962" s="7"/>
    </row>
    <row r="963">
      <c r="D963" s="7"/>
      <c r="E963" s="7"/>
      <c r="F963" s="7"/>
    </row>
    <row r="964">
      <c r="D964" s="7"/>
      <c r="E964" s="7"/>
      <c r="F964" s="7"/>
    </row>
    <row r="965">
      <c r="D965" s="7"/>
      <c r="E965" s="7"/>
      <c r="F965" s="7"/>
    </row>
    <row r="966">
      <c r="D966" s="7"/>
      <c r="E966" s="7"/>
      <c r="F966" s="7"/>
    </row>
    <row r="967">
      <c r="D967" s="7"/>
      <c r="E967" s="7"/>
      <c r="F967" s="7"/>
    </row>
    <row r="968">
      <c r="D968" s="7"/>
      <c r="E968" s="7"/>
      <c r="F968" s="7"/>
    </row>
    <row r="969">
      <c r="D969" s="7"/>
      <c r="E969" s="7"/>
      <c r="F969" s="7"/>
    </row>
    <row r="970">
      <c r="D970" s="7"/>
      <c r="E970" s="7"/>
      <c r="F970" s="7"/>
    </row>
    <row r="971">
      <c r="D971" s="7"/>
      <c r="E971" s="7"/>
      <c r="F971" s="7"/>
    </row>
    <row r="972">
      <c r="D972" s="7"/>
      <c r="E972" s="7"/>
      <c r="F972" s="7"/>
    </row>
    <row r="973">
      <c r="D973" s="7"/>
      <c r="E973" s="7"/>
      <c r="F973" s="7"/>
    </row>
    <row r="974">
      <c r="D974" s="7"/>
      <c r="E974" s="7"/>
      <c r="F974" s="7"/>
    </row>
    <row r="975">
      <c r="D975" s="7"/>
      <c r="E975" s="7"/>
      <c r="F975" s="7"/>
    </row>
    <row r="976">
      <c r="D976" s="7"/>
      <c r="E976" s="7"/>
      <c r="F976" s="7"/>
    </row>
    <row r="977">
      <c r="D977" s="7"/>
      <c r="E977" s="7"/>
      <c r="F977" s="7"/>
    </row>
    <row r="978">
      <c r="D978" s="7"/>
      <c r="E978" s="7"/>
      <c r="F978" s="7"/>
    </row>
    <row r="979">
      <c r="D979" s="7"/>
      <c r="E979" s="7"/>
      <c r="F979" s="7"/>
    </row>
    <row r="980">
      <c r="D980" s="7"/>
      <c r="E980" s="7"/>
      <c r="F980" s="7"/>
    </row>
    <row r="981">
      <c r="D981" s="7"/>
      <c r="E981" s="7"/>
      <c r="F981" s="7"/>
    </row>
    <row r="982">
      <c r="D982" s="7"/>
      <c r="E982" s="7"/>
      <c r="F982" s="7"/>
    </row>
    <row r="983">
      <c r="D983" s="7"/>
      <c r="E983" s="7"/>
      <c r="F983" s="7"/>
    </row>
    <row r="984">
      <c r="D984" s="7"/>
      <c r="E984" s="7"/>
      <c r="F984" s="7"/>
    </row>
    <row r="985">
      <c r="D985" s="7"/>
      <c r="E985" s="7"/>
      <c r="F985" s="7"/>
    </row>
    <row r="986">
      <c r="D986" s="7"/>
      <c r="E986" s="7"/>
      <c r="F986" s="7"/>
    </row>
    <row r="987">
      <c r="D987" s="7"/>
      <c r="E987" s="7"/>
      <c r="F987" s="7"/>
    </row>
    <row r="988">
      <c r="D988" s="7"/>
      <c r="E988" s="7"/>
      <c r="F988" s="7"/>
    </row>
    <row r="989">
      <c r="D989" s="7"/>
      <c r="E989" s="7"/>
      <c r="F989" s="7"/>
    </row>
    <row r="990">
      <c r="D990" s="7"/>
      <c r="E990" s="7"/>
      <c r="F990" s="7"/>
    </row>
    <row r="991">
      <c r="D991" s="7"/>
      <c r="E991" s="7"/>
      <c r="F991" s="7"/>
    </row>
    <row r="992">
      <c r="D992" s="7"/>
      <c r="E992" s="7"/>
      <c r="F992" s="7"/>
    </row>
    <row r="993">
      <c r="D993" s="7"/>
      <c r="E993" s="7"/>
      <c r="F993" s="7"/>
    </row>
    <row r="994">
      <c r="D994" s="7"/>
      <c r="E994" s="7"/>
      <c r="F994" s="7"/>
    </row>
    <row r="995">
      <c r="D995" s="7"/>
      <c r="E995" s="7"/>
      <c r="F995" s="7"/>
    </row>
    <row r="996">
      <c r="D996" s="7"/>
      <c r="E996" s="7"/>
      <c r="F996" s="7"/>
    </row>
    <row r="997">
      <c r="D997" s="7"/>
      <c r="E997" s="7"/>
      <c r="F997" s="7"/>
    </row>
    <row r="998">
      <c r="D998" s="7"/>
      <c r="E998" s="7"/>
      <c r="F998" s="7"/>
    </row>
    <row r="999">
      <c r="D999" s="7"/>
      <c r="E999" s="7"/>
      <c r="F999" s="7"/>
    </row>
    <row r="1000">
      <c r="D1000" s="7"/>
      <c r="E1000" s="7"/>
      <c r="F1000" s="7"/>
    </row>
  </sheetData>
  <mergeCells count="2">
    <mergeCell ref="A2:D2"/>
    <mergeCell ref="A14:D14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0.75"/>
  </cols>
  <sheetData>
    <row r="1">
      <c r="A1" s="38" t="s">
        <v>49</v>
      </c>
      <c r="B1" s="38" t="s">
        <v>50</v>
      </c>
    </row>
    <row r="2">
      <c r="A2" s="39">
        <v>0.0</v>
      </c>
      <c r="B2" s="39">
        <v>28.0</v>
      </c>
    </row>
    <row r="3">
      <c r="A3" s="39">
        <v>1.0</v>
      </c>
      <c r="B3" s="39">
        <v>28.0</v>
      </c>
    </row>
    <row r="4">
      <c r="A4" s="39">
        <v>2.0</v>
      </c>
      <c r="B4" s="39">
        <v>5.0</v>
      </c>
    </row>
    <row r="5">
      <c r="A5" s="39">
        <v>3.0</v>
      </c>
      <c r="B5" s="39">
        <v>11.0</v>
      </c>
    </row>
    <row r="6">
      <c r="A6" s="39">
        <v>4.0</v>
      </c>
      <c r="B6" s="39">
        <v>10.0</v>
      </c>
    </row>
    <row r="7">
      <c r="A7" s="39">
        <v>5.0</v>
      </c>
      <c r="B7" s="39">
        <v>3.0</v>
      </c>
    </row>
    <row r="8">
      <c r="A8" s="39">
        <v>6.0</v>
      </c>
      <c r="B8" s="39">
        <v>7.0</v>
      </c>
    </row>
    <row r="9">
      <c r="A9" s="39">
        <v>7.0</v>
      </c>
      <c r="B9" s="39">
        <v>9.0</v>
      </c>
    </row>
    <row r="10">
      <c r="A10" s="39">
        <v>8.0</v>
      </c>
      <c r="B10" s="39">
        <v>5.0</v>
      </c>
    </row>
    <row r="11">
      <c r="A11" s="39">
        <v>9.0</v>
      </c>
      <c r="B11" s="39">
        <v>2.0</v>
      </c>
    </row>
    <row r="12">
      <c r="A12" s="39">
        <v>10.0</v>
      </c>
      <c r="B12" s="39">
        <v>4.0</v>
      </c>
    </row>
    <row r="13">
      <c r="A13" s="39">
        <v>11.0</v>
      </c>
      <c r="B13" s="39">
        <v>2.0</v>
      </c>
    </row>
    <row r="14">
      <c r="A14" s="39">
        <v>12.0</v>
      </c>
      <c r="B14" s="39">
        <v>1.0</v>
      </c>
    </row>
    <row r="15">
      <c r="A15" s="39">
        <v>15.0</v>
      </c>
      <c r="B15" s="39">
        <v>1.0</v>
      </c>
    </row>
    <row r="16">
      <c r="A16" s="39">
        <v>17.0</v>
      </c>
      <c r="B16" s="39">
        <v>1.0</v>
      </c>
    </row>
    <row r="17">
      <c r="A17" s="39">
        <v>18.0</v>
      </c>
      <c r="B17" s="39">
        <v>1.0</v>
      </c>
    </row>
    <row r="18">
      <c r="A18" s="39">
        <v>19.0</v>
      </c>
      <c r="B18" s="39">
        <v>1.0</v>
      </c>
    </row>
    <row r="19">
      <c r="A19" s="39">
        <v>21.0</v>
      </c>
      <c r="B19" s="39">
        <v>1.0</v>
      </c>
    </row>
    <row r="20">
      <c r="A20" s="39">
        <v>23.0</v>
      </c>
      <c r="B20" s="40">
        <v>1.0</v>
      </c>
    </row>
    <row r="21">
      <c r="A21" s="39">
        <v>25.0</v>
      </c>
      <c r="B21" s="39">
        <v>1.0</v>
      </c>
    </row>
  </sheetData>
  <dataValidations>
    <dataValidation type="custom" allowBlank="1" showDropDown="1" sqref="A2:B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2.63"/>
  </cols>
  <sheetData>
    <row r="1">
      <c r="A1" s="38" t="s">
        <v>51</v>
      </c>
      <c r="B1" s="38" t="s">
        <v>52</v>
      </c>
    </row>
    <row r="2">
      <c r="A2" s="39">
        <v>0.0</v>
      </c>
      <c r="B2" s="39">
        <v>80.0</v>
      </c>
    </row>
    <row r="3">
      <c r="A3" s="39">
        <v>1.0</v>
      </c>
      <c r="B3" s="39">
        <v>3.0</v>
      </c>
    </row>
    <row r="4">
      <c r="A4" s="39">
        <v>2.0</v>
      </c>
      <c r="B4" s="39">
        <v>2.0</v>
      </c>
    </row>
    <row r="5">
      <c r="A5" s="39">
        <v>3.0</v>
      </c>
      <c r="B5" s="39">
        <v>4.0</v>
      </c>
    </row>
    <row r="6">
      <c r="A6" s="39">
        <v>4.0</v>
      </c>
      <c r="B6" s="39">
        <v>2.0</v>
      </c>
    </row>
    <row r="7">
      <c r="A7" s="39">
        <v>5.0</v>
      </c>
      <c r="B7" s="39">
        <v>6.0</v>
      </c>
    </row>
    <row r="8">
      <c r="A8" s="39">
        <v>6.0</v>
      </c>
      <c r="B8" s="39">
        <v>1.0</v>
      </c>
    </row>
    <row r="9">
      <c r="A9" s="39">
        <v>7.0</v>
      </c>
      <c r="B9" s="39">
        <v>2.0</v>
      </c>
    </row>
  </sheetData>
  <dataValidations>
    <dataValidation type="custom" allowBlank="1" showDropDown="1" sqref="A2:B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4.63"/>
  </cols>
  <sheetData>
    <row r="1">
      <c r="A1" s="38" t="s">
        <v>53</v>
      </c>
      <c r="B1" s="38" t="s">
        <v>52</v>
      </c>
    </row>
    <row r="2">
      <c r="A2" s="39">
        <v>1.0</v>
      </c>
      <c r="B2" s="39">
        <v>4.0</v>
      </c>
    </row>
    <row r="3">
      <c r="A3" s="39">
        <v>2.0</v>
      </c>
      <c r="B3" s="39">
        <v>1.0</v>
      </c>
    </row>
    <row r="4">
      <c r="A4" s="39">
        <v>3.0</v>
      </c>
      <c r="B4" s="39">
        <v>5.0</v>
      </c>
    </row>
    <row r="5">
      <c r="A5" s="39">
        <v>4.0</v>
      </c>
      <c r="B5" s="39">
        <v>4.0</v>
      </c>
    </row>
    <row r="6">
      <c r="A6" s="39">
        <v>5.0</v>
      </c>
      <c r="B6" s="39">
        <v>7.0</v>
      </c>
    </row>
    <row r="7">
      <c r="A7" s="39">
        <v>6.0</v>
      </c>
      <c r="B7" s="39">
        <v>10.0</v>
      </c>
    </row>
    <row r="8">
      <c r="A8" s="39">
        <v>7.0</v>
      </c>
      <c r="B8" s="39">
        <v>8.0</v>
      </c>
    </row>
    <row r="9">
      <c r="A9" s="39">
        <v>8.0</v>
      </c>
      <c r="B9" s="39">
        <v>9.0</v>
      </c>
    </row>
    <row r="10">
      <c r="A10" s="39">
        <v>9.0</v>
      </c>
      <c r="B10" s="39">
        <v>10.0</v>
      </c>
    </row>
    <row r="11">
      <c r="A11" s="39">
        <v>10.0</v>
      </c>
      <c r="B11" s="39">
        <v>10.0</v>
      </c>
    </row>
    <row r="12">
      <c r="A12" s="39">
        <v>11.0</v>
      </c>
      <c r="B12" s="39">
        <v>5.0</v>
      </c>
    </row>
    <row r="13">
      <c r="A13" s="39">
        <v>12.0</v>
      </c>
      <c r="B13" s="39">
        <v>7.0</v>
      </c>
    </row>
    <row r="14">
      <c r="A14" s="39">
        <v>13.0</v>
      </c>
      <c r="B14" s="39">
        <v>2.0</v>
      </c>
    </row>
    <row r="15">
      <c r="A15" s="39">
        <v>14.0</v>
      </c>
      <c r="B15" s="39">
        <v>4.0</v>
      </c>
    </row>
    <row r="16">
      <c r="A16" s="39">
        <v>15.0</v>
      </c>
      <c r="B16" s="39">
        <v>4.0</v>
      </c>
    </row>
    <row r="17">
      <c r="A17" s="39">
        <v>16.0</v>
      </c>
      <c r="B17" s="39">
        <v>2.0</v>
      </c>
    </row>
    <row r="18">
      <c r="A18" s="39">
        <v>17.0</v>
      </c>
      <c r="B18" s="39">
        <v>1.0</v>
      </c>
    </row>
    <row r="19">
      <c r="A19" s="39">
        <v>18.0</v>
      </c>
      <c r="B19" s="39">
        <v>1.0</v>
      </c>
    </row>
    <row r="20">
      <c r="A20" s="39">
        <v>20.0</v>
      </c>
      <c r="B20" s="39">
        <v>1.0</v>
      </c>
    </row>
    <row r="21">
      <c r="A21" s="39">
        <v>23.0</v>
      </c>
      <c r="B21" s="39">
        <v>1.0</v>
      </c>
    </row>
    <row r="22">
      <c r="A22" s="39">
        <v>24.0</v>
      </c>
      <c r="B22" s="39">
        <v>1.0</v>
      </c>
    </row>
    <row r="23">
      <c r="A23" s="39">
        <v>25.0</v>
      </c>
      <c r="B23" s="39">
        <v>1.0</v>
      </c>
    </row>
    <row r="24">
      <c r="A24" s="39">
        <v>28.0</v>
      </c>
      <c r="B24" s="39">
        <v>1.0</v>
      </c>
    </row>
    <row r="25">
      <c r="A25" s="39">
        <v>31.0</v>
      </c>
      <c r="B25" s="39">
        <v>1.0</v>
      </c>
    </row>
  </sheetData>
  <dataValidations>
    <dataValidation type="custom" allowBlank="1" showDropDown="1" sqref="A2:B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