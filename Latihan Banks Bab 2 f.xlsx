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y Drive\Perkuliahan S1 ITS\Teknik Simulasi\"/>
    </mc:Choice>
  </mc:AlternateContent>
  <xr:revisionPtr revIDLastSave="0" documentId="13_ncr:1_{74C8A041-4186-432F-8C28-99AF54AC7F5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4" i="1"/>
  <c r="G5" i="1"/>
  <c r="G6" i="1"/>
  <c r="G7" i="1"/>
  <c r="G8" i="1"/>
  <c r="G9" i="1"/>
  <c r="G10" i="1"/>
  <c r="G11" i="1"/>
  <c r="G12" i="1"/>
  <c r="G13" i="1"/>
  <c r="G4" i="1"/>
  <c r="F5" i="1"/>
  <c r="F6" i="1"/>
  <c r="F7" i="1"/>
  <c r="F8" i="1"/>
  <c r="F9" i="1"/>
  <c r="F10" i="1"/>
  <c r="F11" i="1"/>
  <c r="F12" i="1"/>
  <c r="F13" i="1"/>
  <c r="F4" i="1"/>
  <c r="E5" i="1"/>
  <c r="E6" i="1"/>
  <c r="I6" i="1" s="1"/>
  <c r="E7" i="1"/>
  <c r="E8" i="1"/>
  <c r="E9" i="1"/>
  <c r="E10" i="1"/>
  <c r="E11" i="1"/>
  <c r="E12" i="1"/>
  <c r="E13" i="1"/>
  <c r="E4" i="1"/>
  <c r="I13" i="1" l="1"/>
  <c r="I5" i="1"/>
  <c r="I7" i="1"/>
  <c r="I12" i="1"/>
  <c r="I9" i="1"/>
  <c r="I11" i="1"/>
  <c r="I10" i="1"/>
  <c r="I8" i="1"/>
  <c r="I4" i="1"/>
  <c r="I15" i="1" l="1"/>
</calcChain>
</file>

<file path=xl/sharedStrings.xml><?xml version="1.0" encoding="utf-8"?>
<sst xmlns="http://schemas.openxmlformats.org/spreadsheetml/2006/main" count="20" uniqueCount="13">
  <si>
    <t>Day</t>
  </si>
  <si>
    <t>Type of Newsday</t>
  </si>
  <si>
    <t>Demand</t>
  </si>
  <si>
    <t>Revenue from Sales</t>
  </si>
  <si>
    <t>Lost Profit from Excess Demand</t>
  </si>
  <si>
    <t>Salvage from Sale of Scrap</t>
  </si>
  <si>
    <t>Daily Cost</t>
  </si>
  <si>
    <t>Daily Profit</t>
  </si>
  <si>
    <t>Fair</t>
  </si>
  <si>
    <t>Good</t>
  </si>
  <si>
    <t>Poor</t>
  </si>
  <si>
    <t>M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</si>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</sst>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"/>
  <sheetViews>
    <sheetView tabSelected="1" topLeftCell="B1" zoomScale="150" zoomScaleNormal="150" workbookViewId="0">
      <selection activeCell="E17" sqref="E17"/>
    </sheetView>
  </sheetViews>
  <sheetFormatPr defaultRowHeight="15" x14ac:dyDescent="0.25"/>
  <cols>
    <col min="8" max="8" width="10.85546875" bestFit="1" customWidth="1"/>
  </cols>
  <sheetData>
    <row r="1" spans="2:9" x14ac:dyDescent="0.25">
      <c r="B1" t="s">
        <v>11</v>
      </c>
      <c r="C1">
        <v>70</v>
      </c>
    </row>
    <row r="3" spans="2:9" s="1" customFormat="1" ht="75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x14ac:dyDescent="0.25">
      <c r="B4">
        <v>1</v>
      </c>
      <c r="C4" t="s">
        <v>8</v>
      </c>
      <c r="D4">
        <v>50</v>
      </c>
      <c r="E4">
        <f>MIN(D4,$C$1)*50/100</f>
        <v>25</v>
      </c>
      <c r="F4">
        <f>MAX(D4-$C$1,0)*17/100</f>
        <v>0</v>
      </c>
      <c r="G4">
        <f>MAX($C$1-D4,0)*5/100</f>
        <v>1</v>
      </c>
      <c r="H4">
        <f>$C$1*33/100</f>
        <v>23.1</v>
      </c>
      <c r="I4">
        <f>E4-H4-F4+G4</f>
        <v>2.8999999999999986</v>
      </c>
    </row>
    <row r="5" spans="2:9" x14ac:dyDescent="0.25">
      <c r="B5">
        <v>2</v>
      </c>
      <c r="C5" t="s">
        <v>8</v>
      </c>
      <c r="D5">
        <v>50</v>
      </c>
      <c r="E5">
        <f t="shared" ref="E5:E13" si="0">MIN(D5,$C$1)*50/100</f>
        <v>25</v>
      </c>
      <c r="F5">
        <f t="shared" ref="F5:F13" si="1">MAX(D5-$C$1,0)*17/100</f>
        <v>0</v>
      </c>
      <c r="G5">
        <f t="shared" ref="G5:G13" si="2">MAX($C$1-D5,0)*5/100</f>
        <v>1</v>
      </c>
      <c r="H5">
        <f t="shared" ref="H5:H13" si="3">$C$1*33/100</f>
        <v>23.1</v>
      </c>
      <c r="I5">
        <f t="shared" ref="I5:I13" si="4">E5-H5-F5+G5</f>
        <v>2.8999999999999986</v>
      </c>
    </row>
    <row r="6" spans="2:9" x14ac:dyDescent="0.25">
      <c r="B6">
        <v>3</v>
      </c>
      <c r="C6" t="s">
        <v>8</v>
      </c>
      <c r="D6">
        <v>70</v>
      </c>
      <c r="E6">
        <f t="shared" si="0"/>
        <v>35</v>
      </c>
      <c r="F6">
        <f t="shared" si="1"/>
        <v>0</v>
      </c>
      <c r="G6">
        <f t="shared" si="2"/>
        <v>0</v>
      </c>
      <c r="H6">
        <f t="shared" si="3"/>
        <v>23.1</v>
      </c>
      <c r="I6">
        <f t="shared" si="4"/>
        <v>11.899999999999999</v>
      </c>
    </row>
    <row r="7" spans="2:9" x14ac:dyDescent="0.25">
      <c r="B7">
        <v>4</v>
      </c>
      <c r="C7" t="s">
        <v>9</v>
      </c>
      <c r="D7">
        <v>80</v>
      </c>
      <c r="E7">
        <f t="shared" si="0"/>
        <v>35</v>
      </c>
      <c r="F7">
        <f t="shared" si="1"/>
        <v>1.7</v>
      </c>
      <c r="G7">
        <f t="shared" si="2"/>
        <v>0</v>
      </c>
      <c r="H7">
        <f t="shared" si="3"/>
        <v>23.1</v>
      </c>
      <c r="I7">
        <f t="shared" si="4"/>
        <v>10.199999999999999</v>
      </c>
    </row>
    <row r="8" spans="2:9" x14ac:dyDescent="0.25">
      <c r="B8">
        <v>5</v>
      </c>
      <c r="C8" t="s">
        <v>10</v>
      </c>
      <c r="D8">
        <v>40</v>
      </c>
      <c r="E8">
        <f t="shared" si="0"/>
        <v>20</v>
      </c>
      <c r="F8">
        <f t="shared" si="1"/>
        <v>0</v>
      </c>
      <c r="G8">
        <f t="shared" si="2"/>
        <v>1.5</v>
      </c>
      <c r="H8">
        <f t="shared" si="3"/>
        <v>23.1</v>
      </c>
      <c r="I8">
        <f t="shared" si="4"/>
        <v>-1.6000000000000014</v>
      </c>
    </row>
    <row r="9" spans="2:9" x14ac:dyDescent="0.25">
      <c r="B9">
        <v>6</v>
      </c>
      <c r="C9" t="s">
        <v>8</v>
      </c>
      <c r="D9">
        <v>50</v>
      </c>
      <c r="E9">
        <f t="shared" si="0"/>
        <v>25</v>
      </c>
      <c r="F9">
        <f t="shared" si="1"/>
        <v>0</v>
      </c>
      <c r="G9">
        <f t="shared" si="2"/>
        <v>1</v>
      </c>
      <c r="H9">
        <f t="shared" si="3"/>
        <v>23.1</v>
      </c>
      <c r="I9">
        <f t="shared" si="4"/>
        <v>2.8999999999999986</v>
      </c>
    </row>
    <row r="10" spans="2:9" x14ac:dyDescent="0.25">
      <c r="B10">
        <v>7</v>
      </c>
      <c r="C10" t="s">
        <v>10</v>
      </c>
      <c r="D10">
        <v>50</v>
      </c>
      <c r="E10">
        <f t="shared" si="0"/>
        <v>25</v>
      </c>
      <c r="F10">
        <f t="shared" si="1"/>
        <v>0</v>
      </c>
      <c r="G10">
        <f t="shared" si="2"/>
        <v>1</v>
      </c>
      <c r="H10">
        <f t="shared" si="3"/>
        <v>23.1</v>
      </c>
      <c r="I10">
        <f t="shared" si="4"/>
        <v>2.8999999999999986</v>
      </c>
    </row>
    <row r="11" spans="2:9" x14ac:dyDescent="0.25">
      <c r="B11">
        <v>8</v>
      </c>
      <c r="C11" t="s">
        <v>8</v>
      </c>
      <c r="D11">
        <v>70</v>
      </c>
      <c r="E11">
        <f t="shared" si="0"/>
        <v>35</v>
      </c>
      <c r="F11">
        <f t="shared" si="1"/>
        <v>0</v>
      </c>
      <c r="G11">
        <f t="shared" si="2"/>
        <v>0</v>
      </c>
      <c r="H11">
        <f t="shared" si="3"/>
        <v>23.1</v>
      </c>
      <c r="I11">
        <f t="shared" si="4"/>
        <v>11.899999999999999</v>
      </c>
    </row>
    <row r="12" spans="2:9" x14ac:dyDescent="0.25">
      <c r="B12">
        <v>9</v>
      </c>
      <c r="C12" t="s">
        <v>9</v>
      </c>
      <c r="D12">
        <v>40</v>
      </c>
      <c r="E12">
        <f t="shared" si="0"/>
        <v>20</v>
      </c>
      <c r="F12">
        <f t="shared" si="1"/>
        <v>0</v>
      </c>
      <c r="G12">
        <f t="shared" si="2"/>
        <v>1.5</v>
      </c>
      <c r="H12">
        <f t="shared" si="3"/>
        <v>23.1</v>
      </c>
      <c r="I12">
        <f t="shared" si="4"/>
        <v>-1.6000000000000014</v>
      </c>
    </row>
    <row r="13" spans="2:9" x14ac:dyDescent="0.25">
      <c r="B13">
        <v>10</v>
      </c>
      <c r="C13" t="s">
        <v>9</v>
      </c>
      <c r="D13">
        <v>100</v>
      </c>
      <c r="E13">
        <f t="shared" si="0"/>
        <v>35</v>
      </c>
      <c r="F13">
        <f t="shared" si="1"/>
        <v>5.0999999999999996</v>
      </c>
      <c r="G13">
        <f t="shared" si="2"/>
        <v>0</v>
      </c>
      <c r="H13">
        <f t="shared" si="3"/>
        <v>23.1</v>
      </c>
      <c r="I13">
        <f t="shared" si="4"/>
        <v>6.7999999999999989</v>
      </c>
    </row>
    <row r="15" spans="2:9" x14ac:dyDescent="0.25">
      <c r="H15" t="s">
        <v>12</v>
      </c>
      <c r="I15">
        <f>SUM(I4:I13)</f>
        <v>49.199999999999989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100060503</dc:creator>
  <cp:lastModifiedBy>Muhammad Luthfi Shahab</cp:lastModifiedBy>
  <dcterms:created xsi:type="dcterms:W3CDTF">2015-06-05T18:17:20Z</dcterms:created>
  <dcterms:modified xsi:type="dcterms:W3CDTF">2025-09-10T07:25:37Z</dcterms:modified>
</cp:coreProperties>
</file>