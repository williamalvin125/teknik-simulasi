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My Drive\Perkuliahan S1 ITS\Teknik Simulasi\"/>
    </mc:Choice>
  </mc:AlternateContent>
  <xr:revisionPtr revIDLastSave="0" documentId="13_ncr:1_{F8FAFE99-84AB-49CA-BBD9-ABB236C279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F5" i="1"/>
  <c r="G5" i="1" s="1"/>
  <c r="D5" i="1"/>
  <c r="H6" i="1"/>
  <c r="H7" i="1"/>
  <c r="H8" i="1"/>
  <c r="H10" i="1"/>
  <c r="H11" i="1"/>
  <c r="H12" i="1"/>
  <c r="H13" i="1"/>
  <c r="H16" i="1"/>
  <c r="H17" i="1"/>
  <c r="H18" i="1"/>
  <c r="J4" i="1"/>
  <c r="J5" i="1"/>
  <c r="J6" i="1" s="1"/>
  <c r="J7" i="1" s="1"/>
  <c r="J8" i="1" s="1"/>
  <c r="J9" i="1"/>
  <c r="J10" i="1" s="1"/>
  <c r="J11" i="1" s="1"/>
  <c r="J12" i="1" s="1"/>
  <c r="J13" i="1" s="1"/>
  <c r="J14" i="1"/>
  <c r="J15" i="1" s="1"/>
  <c r="J16" i="1" s="1"/>
  <c r="J17" i="1" s="1"/>
  <c r="J18" i="1" s="1"/>
  <c r="J19" i="1"/>
  <c r="B11" i="1"/>
  <c r="B16" i="1" s="1"/>
  <c r="B12" i="1"/>
  <c r="B17" i="1" s="1"/>
  <c r="B13" i="1"/>
  <c r="B18" i="1" s="1"/>
  <c r="B14" i="1"/>
  <c r="B19" i="1" s="1"/>
  <c r="B10" i="1"/>
  <c r="B15" i="1" s="1"/>
  <c r="D6" i="1" l="1"/>
  <c r="F6" i="1" s="1"/>
  <c r="G6" i="1" s="1"/>
  <c r="H4" i="1"/>
  <c r="H5" i="1" s="1"/>
  <c r="D7" i="1" l="1"/>
  <c r="F7" i="1" s="1"/>
  <c r="G7" i="1" s="1"/>
  <c r="D8" i="1" l="1"/>
  <c r="F8" i="1" s="1"/>
  <c r="G8" i="1" s="1"/>
  <c r="D9" i="1" l="1"/>
  <c r="F9" i="1" s="1"/>
  <c r="G9" i="1" s="1"/>
  <c r="H9" i="1" l="1"/>
  <c r="D10" i="1"/>
  <c r="F10" i="1" s="1"/>
  <c r="G10" i="1" s="1"/>
  <c r="D11" i="1" l="1"/>
  <c r="F11" i="1" s="1"/>
  <c r="G11" i="1" s="1"/>
  <c r="D12" i="1" l="1"/>
  <c r="F12" i="1" l="1"/>
  <c r="G12" i="1" s="1"/>
  <c r="D13" i="1"/>
  <c r="F13" i="1" s="1"/>
  <c r="G13" i="1" s="1"/>
  <c r="D14" i="1" l="1"/>
  <c r="F14" i="1" s="1"/>
  <c r="G14" i="1" s="1"/>
  <c r="D15" i="1" l="1"/>
  <c r="F15" i="1" s="1"/>
  <c r="G15" i="1" s="1"/>
  <c r="H14" i="1"/>
  <c r="H15" i="1" s="1"/>
  <c r="D16" i="1" l="1"/>
  <c r="F16" i="1" s="1"/>
  <c r="G16" i="1" s="1"/>
  <c r="D17" i="1" l="1"/>
  <c r="F17" i="1" l="1"/>
  <c r="D18" i="1" l="1"/>
  <c r="G17" i="1"/>
  <c r="F18" i="1" l="1"/>
  <c r="D19" i="1" l="1"/>
  <c r="G18" i="1"/>
  <c r="F19" i="1" l="1"/>
  <c r="G19" i="1" l="1"/>
  <c r="H19" i="1"/>
</calcChain>
</file>

<file path=xl/sharedStrings.xml><?xml version="1.0" encoding="utf-8"?>
<sst xmlns="http://schemas.openxmlformats.org/spreadsheetml/2006/main" count="11" uniqueCount="11">
  <si>
    <t>Day</t>
  </si>
  <si>
    <t>Cycle</t>
  </si>
  <si>
    <t>Day within Cycle</t>
  </si>
  <si>
    <t>Beginning Inventory</t>
  </si>
  <si>
    <t>Demand</t>
  </si>
  <si>
    <t>Ending Inventory</t>
  </si>
  <si>
    <t>Shortage Quantity</t>
  </si>
  <si>
    <t>Pending Order</t>
  </si>
  <si>
    <t>Lead Time</t>
  </si>
  <si>
    <t>Days until Order Arrives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</si>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</sst>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zoomScale="150" zoomScaleNormal="150" workbookViewId="0">
      <selection activeCell="G19" sqref="G19"/>
    </sheetView>
  </sheetViews>
  <sheetFormatPr defaultRowHeight="15" x14ac:dyDescent="0.25"/>
  <sheetData>
    <row r="1" spans="1:10" x14ac:dyDescent="0.25">
      <c r="A1" t="s">
        <v>10</v>
      </c>
      <c r="B1">
        <v>11</v>
      </c>
    </row>
    <row r="3" spans="1:10" s="1" customFormat="1" ht="6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x14ac:dyDescent="0.25">
      <c r="A4">
        <v>0</v>
      </c>
      <c r="B4">
        <v>0</v>
      </c>
      <c r="C4">
        <v>5</v>
      </c>
      <c r="F4">
        <v>3</v>
      </c>
      <c r="G4">
        <f t="shared" ref="G4:G16" si="0">IF(F4&gt;1,0,MAX(E4-D4,0)+G3)</f>
        <v>0</v>
      </c>
      <c r="H4">
        <f>IF(C4=5,$B$1-F4+G4,IF(J3&gt;1,H3,0))</f>
        <v>8</v>
      </c>
      <c r="I4">
        <v>2</v>
      </c>
      <c r="J4">
        <f>IF(I4&gt;0,I4,IF(J3&gt;1,J3-1,0))</f>
        <v>2</v>
      </c>
    </row>
    <row r="5" spans="1:10" x14ac:dyDescent="0.25">
      <c r="A5">
        <v>1</v>
      </c>
      <c r="B5">
        <v>1</v>
      </c>
      <c r="C5">
        <v>1</v>
      </c>
      <c r="D5">
        <f t="shared" ref="D4:D6" si="1">F4+IF(J3=1,H3,0)</f>
        <v>3</v>
      </c>
      <c r="E5">
        <v>2</v>
      </c>
      <c r="F5">
        <f t="shared" ref="F5:F16" si="2">MAX(D5-E5-G4,0)</f>
        <v>1</v>
      </c>
      <c r="G5">
        <f t="shared" si="0"/>
        <v>0</v>
      </c>
      <c r="H5">
        <f>IF(C5=5,$B$1-F5+G5,IF(J4&gt;1,H4,0))</f>
        <v>8</v>
      </c>
      <c r="J5">
        <f t="shared" ref="J5:J19" si="3">IF(I5&gt;0,I5,IF(J4&gt;1,J4-1,0))</f>
        <v>1</v>
      </c>
    </row>
    <row r="6" spans="1:10" x14ac:dyDescent="0.25">
      <c r="A6">
        <v>2</v>
      </c>
      <c r="B6">
        <v>1</v>
      </c>
      <c r="C6">
        <v>2</v>
      </c>
      <c r="D6">
        <f t="shared" si="1"/>
        <v>1</v>
      </c>
      <c r="E6">
        <v>1</v>
      </c>
      <c r="F6">
        <f t="shared" si="2"/>
        <v>0</v>
      </c>
      <c r="G6">
        <f t="shared" si="0"/>
        <v>0</v>
      </c>
      <c r="H6">
        <f t="shared" ref="H6:H19" si="4">IF(C6=5,$B$1-F6+G6,IF(J5&gt;1,H5,0))</f>
        <v>0</v>
      </c>
      <c r="J6">
        <f t="shared" si="3"/>
        <v>0</v>
      </c>
    </row>
    <row r="7" spans="1:10" x14ac:dyDescent="0.25">
      <c r="A7">
        <v>3</v>
      </c>
      <c r="B7">
        <v>1</v>
      </c>
      <c r="C7">
        <v>3</v>
      </c>
      <c r="D7">
        <f>F6+IF(J5=1,H5,0)</f>
        <v>8</v>
      </c>
      <c r="E7">
        <v>2</v>
      </c>
      <c r="F7">
        <f t="shared" si="2"/>
        <v>6</v>
      </c>
      <c r="G7">
        <f t="shared" si="0"/>
        <v>0</v>
      </c>
      <c r="H7">
        <f t="shared" si="4"/>
        <v>0</v>
      </c>
      <c r="J7">
        <f t="shared" si="3"/>
        <v>0</v>
      </c>
    </row>
    <row r="8" spans="1:10" x14ac:dyDescent="0.25">
      <c r="A8">
        <v>4</v>
      </c>
      <c r="B8">
        <v>1</v>
      </c>
      <c r="C8">
        <v>4</v>
      </c>
      <c r="D8">
        <f t="shared" ref="D8:D19" si="5">F7+IF(J6=1,H6,0)</f>
        <v>6</v>
      </c>
      <c r="E8">
        <v>1</v>
      </c>
      <c r="F8">
        <f t="shared" si="2"/>
        <v>5</v>
      </c>
      <c r="G8">
        <f t="shared" si="0"/>
        <v>0</v>
      </c>
      <c r="H8">
        <f t="shared" si="4"/>
        <v>0</v>
      </c>
      <c r="J8">
        <f t="shared" si="3"/>
        <v>0</v>
      </c>
    </row>
    <row r="9" spans="1:10" x14ac:dyDescent="0.25">
      <c r="A9">
        <v>5</v>
      </c>
      <c r="B9">
        <v>1</v>
      </c>
      <c r="C9">
        <v>5</v>
      </c>
      <c r="D9">
        <f t="shared" si="5"/>
        <v>5</v>
      </c>
      <c r="E9">
        <v>2</v>
      </c>
      <c r="F9">
        <f t="shared" si="2"/>
        <v>3</v>
      </c>
      <c r="G9">
        <f t="shared" si="0"/>
        <v>0</v>
      </c>
      <c r="H9">
        <f t="shared" si="4"/>
        <v>8</v>
      </c>
      <c r="I9">
        <v>1</v>
      </c>
      <c r="J9">
        <f t="shared" si="3"/>
        <v>1</v>
      </c>
    </row>
    <row r="10" spans="1:10" x14ac:dyDescent="0.25">
      <c r="A10">
        <v>6</v>
      </c>
      <c r="B10">
        <f>B5+1</f>
        <v>2</v>
      </c>
      <c r="C10">
        <v>1</v>
      </c>
      <c r="D10">
        <f t="shared" si="5"/>
        <v>3</v>
      </c>
      <c r="E10">
        <v>3</v>
      </c>
      <c r="F10">
        <f t="shared" si="2"/>
        <v>0</v>
      </c>
      <c r="G10">
        <f t="shared" si="0"/>
        <v>0</v>
      </c>
      <c r="H10">
        <f t="shared" si="4"/>
        <v>0</v>
      </c>
      <c r="J10">
        <f t="shared" si="3"/>
        <v>0</v>
      </c>
    </row>
    <row r="11" spans="1:10" x14ac:dyDescent="0.25">
      <c r="A11">
        <v>7</v>
      </c>
      <c r="B11">
        <f t="shared" ref="B11:B19" si="6">B6+1</f>
        <v>2</v>
      </c>
      <c r="C11">
        <v>2</v>
      </c>
      <c r="D11">
        <f t="shared" si="5"/>
        <v>8</v>
      </c>
      <c r="E11">
        <v>2</v>
      </c>
      <c r="F11">
        <f t="shared" si="2"/>
        <v>6</v>
      </c>
      <c r="G11">
        <f t="shared" si="0"/>
        <v>0</v>
      </c>
      <c r="H11">
        <f t="shared" si="4"/>
        <v>0</v>
      </c>
      <c r="J11">
        <f t="shared" si="3"/>
        <v>0</v>
      </c>
    </row>
    <row r="12" spans="1:10" x14ac:dyDescent="0.25">
      <c r="A12">
        <v>8</v>
      </c>
      <c r="B12">
        <f t="shared" si="6"/>
        <v>2</v>
      </c>
      <c r="C12">
        <v>3</v>
      </c>
      <c r="D12">
        <f t="shared" si="5"/>
        <v>6</v>
      </c>
      <c r="E12">
        <v>3</v>
      </c>
      <c r="F12">
        <f t="shared" si="2"/>
        <v>3</v>
      </c>
      <c r="G12">
        <f t="shared" si="0"/>
        <v>0</v>
      </c>
      <c r="H12">
        <f t="shared" si="4"/>
        <v>0</v>
      </c>
      <c r="J12">
        <f t="shared" si="3"/>
        <v>0</v>
      </c>
    </row>
    <row r="13" spans="1:10" x14ac:dyDescent="0.25">
      <c r="A13">
        <v>9</v>
      </c>
      <c r="B13">
        <f t="shared" si="6"/>
        <v>2</v>
      </c>
      <c r="C13">
        <v>4</v>
      </c>
      <c r="D13">
        <f t="shared" si="5"/>
        <v>3</v>
      </c>
      <c r="E13">
        <v>2</v>
      </c>
      <c r="F13">
        <f t="shared" si="2"/>
        <v>1</v>
      </c>
      <c r="G13">
        <f t="shared" si="0"/>
        <v>0</v>
      </c>
      <c r="H13">
        <f t="shared" si="4"/>
        <v>0</v>
      </c>
      <c r="J13">
        <f t="shared" si="3"/>
        <v>0</v>
      </c>
    </row>
    <row r="14" spans="1:10" x14ac:dyDescent="0.25">
      <c r="A14">
        <v>10</v>
      </c>
      <c r="B14">
        <f t="shared" si="6"/>
        <v>2</v>
      </c>
      <c r="C14">
        <v>5</v>
      </c>
      <c r="D14">
        <f t="shared" si="5"/>
        <v>1</v>
      </c>
      <c r="E14">
        <v>3</v>
      </c>
      <c r="F14">
        <f t="shared" si="2"/>
        <v>0</v>
      </c>
      <c r="G14">
        <f t="shared" si="0"/>
        <v>2</v>
      </c>
      <c r="H14">
        <f t="shared" si="4"/>
        <v>13</v>
      </c>
      <c r="I14">
        <v>2</v>
      </c>
      <c r="J14">
        <f t="shared" si="3"/>
        <v>2</v>
      </c>
    </row>
    <row r="15" spans="1:10" x14ac:dyDescent="0.25">
      <c r="A15">
        <v>11</v>
      </c>
      <c r="B15">
        <f t="shared" si="6"/>
        <v>3</v>
      </c>
      <c r="C15">
        <v>1</v>
      </c>
      <c r="D15">
        <f t="shared" si="5"/>
        <v>0</v>
      </c>
      <c r="E15">
        <v>1</v>
      </c>
      <c r="F15">
        <f t="shared" si="2"/>
        <v>0</v>
      </c>
      <c r="G15">
        <f t="shared" si="0"/>
        <v>3</v>
      </c>
      <c r="H15">
        <f t="shared" si="4"/>
        <v>13</v>
      </c>
      <c r="J15">
        <f t="shared" si="3"/>
        <v>1</v>
      </c>
    </row>
    <row r="16" spans="1:10" x14ac:dyDescent="0.25">
      <c r="A16">
        <v>12</v>
      </c>
      <c r="B16">
        <f t="shared" si="6"/>
        <v>3</v>
      </c>
      <c r="C16">
        <v>2</v>
      </c>
      <c r="D16">
        <f t="shared" si="5"/>
        <v>0</v>
      </c>
      <c r="E16">
        <v>2</v>
      </c>
      <c r="F16">
        <f t="shared" si="2"/>
        <v>0</v>
      </c>
      <c r="G16">
        <f t="shared" si="0"/>
        <v>5</v>
      </c>
      <c r="H16">
        <f t="shared" si="4"/>
        <v>0</v>
      </c>
      <c r="J16">
        <f t="shared" si="3"/>
        <v>0</v>
      </c>
    </row>
    <row r="17" spans="1:10" x14ac:dyDescent="0.25">
      <c r="A17">
        <v>13</v>
      </c>
      <c r="B17">
        <f t="shared" si="6"/>
        <v>3</v>
      </c>
      <c r="C17">
        <v>3</v>
      </c>
      <c r="D17">
        <f t="shared" si="5"/>
        <v>13</v>
      </c>
      <c r="E17">
        <v>2</v>
      </c>
      <c r="F17">
        <f>MAX(D17-E17-G16,0)</f>
        <v>6</v>
      </c>
      <c r="G17">
        <f>IF(F17&gt;1,0,MAX(E17-D17,0)+G16)</f>
        <v>0</v>
      </c>
      <c r="H17">
        <f t="shared" si="4"/>
        <v>0</v>
      </c>
      <c r="J17">
        <f t="shared" si="3"/>
        <v>0</v>
      </c>
    </row>
    <row r="18" spans="1:10" x14ac:dyDescent="0.25">
      <c r="A18">
        <v>14</v>
      </c>
      <c r="B18">
        <f t="shared" si="6"/>
        <v>3</v>
      </c>
      <c r="C18">
        <v>4</v>
      </c>
      <c r="D18">
        <f t="shared" si="5"/>
        <v>6</v>
      </c>
      <c r="E18">
        <v>3</v>
      </c>
      <c r="F18">
        <f t="shared" ref="F18:F19" si="7">MAX(D18-E18-G17,0)</f>
        <v>3</v>
      </c>
      <c r="G18">
        <f t="shared" ref="G18:G19" si="8">IF(F18&gt;1,0,MAX(E18-D18,0)+G17)</f>
        <v>0</v>
      </c>
      <c r="H18">
        <f t="shared" si="4"/>
        <v>0</v>
      </c>
      <c r="J18">
        <f t="shared" si="3"/>
        <v>0</v>
      </c>
    </row>
    <row r="19" spans="1:10" x14ac:dyDescent="0.25">
      <c r="A19">
        <v>15</v>
      </c>
      <c r="B19">
        <f t="shared" si="6"/>
        <v>3</v>
      </c>
      <c r="C19">
        <v>5</v>
      </c>
      <c r="D19">
        <f t="shared" si="5"/>
        <v>3</v>
      </c>
      <c r="E19">
        <v>1</v>
      </c>
      <c r="F19">
        <f t="shared" si="7"/>
        <v>2</v>
      </c>
      <c r="G19">
        <f t="shared" si="8"/>
        <v>0</v>
      </c>
      <c r="H19">
        <f t="shared" si="4"/>
        <v>9</v>
      </c>
      <c r="I19">
        <v>1</v>
      </c>
      <c r="J19">
        <f t="shared" si="3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100060503</dc:creator>
  <cp:lastModifiedBy>Muhammad Luthfi Shahab</cp:lastModifiedBy>
  <dcterms:created xsi:type="dcterms:W3CDTF">2015-06-05T18:17:20Z</dcterms:created>
  <dcterms:modified xsi:type="dcterms:W3CDTF">2025-09-10T08:42:23Z</dcterms:modified>
</cp:coreProperties>
</file>