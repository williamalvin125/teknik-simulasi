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jrLhdZyusl6hXaCdsUoujV7EVxkdCPaKc/zzQP/KsU="/>
    </ext>
  </extLst>
</workbook>
</file>

<file path=xl/sharedStrings.xml><?xml version="1.0" encoding="utf-8"?>
<sst xmlns="http://schemas.openxmlformats.org/spreadsheetml/2006/main" count="13" uniqueCount="13">
  <si>
    <t>Caller Number</t>
  </si>
  <si>
    <t>Interarrival Time</t>
  </si>
  <si>
    <t>Arrival Time</t>
  </si>
  <si>
    <t>When Able Available</t>
  </si>
  <si>
    <t>When Baker Available</t>
  </si>
  <si>
    <t>Server Chosen</t>
  </si>
  <si>
    <t>Service Time</t>
  </si>
  <si>
    <t>Time Service Begins</t>
  </si>
  <si>
    <t>Service Completion Time</t>
  </si>
  <si>
    <t>Caller Delay</t>
  </si>
  <si>
    <t>Time in System</t>
  </si>
  <si>
    <t>Able</t>
  </si>
  <si>
    <t>Baker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</si>
</sst>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14"/>
    <col customWidth="1" min="2" max="2" width="8.29"/>
    <col customWidth="1" min="3" max="3" width="10.86"/>
    <col customWidth="1" min="4" max="13" width="9.14"/>
    <col customWidth="1" min="14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L2" s="2" t="s">
        <v>9</v>
      </c>
      <c r="M2" s="2" t="s">
        <v>10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 t="s">
        <v>11</v>
      </c>
      <c r="K3" s="1" t="s">
        <v>12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>
        <v>1.0</v>
      </c>
      <c r="C4" s="1">
        <v>0.0</v>
      </c>
      <c r="D4" s="1">
        <v>0.0</v>
      </c>
      <c r="E4" s="1">
        <v>0.0</v>
      </c>
      <c r="F4" s="1">
        <v>0.0</v>
      </c>
      <c r="G4" s="1" t="str">
        <f t="shared" ref="G4:G13" si="1">IF(max(E4,F4)&lt;=D4,"Able",IF(E4&lt;=F4,"Able","Baker"))</f>
        <v>Able</v>
      </c>
      <c r="H4" s="1">
        <v>4.0</v>
      </c>
      <c r="I4" s="1">
        <v>0.0</v>
      </c>
      <c r="J4" s="1">
        <f t="shared" ref="J4:J13" si="2">IF(G4="Able",H4+I4,"")</f>
        <v>4</v>
      </c>
      <c r="K4" s="1" t="str">
        <f t="shared" ref="K4:K13" si="3">IF(G4="Baker",H4+I4,"")</f>
        <v/>
      </c>
      <c r="L4" s="1">
        <f t="shared" ref="L4:L13" si="4">I4-D4</f>
        <v>0</v>
      </c>
      <c r="M4" s="1">
        <f t="shared" ref="M4:M13" si="5">MAX(J4:K4)-D4</f>
        <v>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>
        <v>2.0</v>
      </c>
      <c r="C5" s="1">
        <v>1.0</v>
      </c>
      <c r="D5" s="1">
        <f t="shared" ref="D5:D13" si="6">D4+C5</f>
        <v>1</v>
      </c>
      <c r="E5" s="1">
        <f t="shared" ref="E5:E13" si="7">MAX($J$4:J4)</f>
        <v>4</v>
      </c>
      <c r="F5" s="1">
        <f t="shared" ref="F5:F13" si="8">MAX($K$4:K4)</f>
        <v>0</v>
      </c>
      <c r="G5" s="1" t="str">
        <f t="shared" si="1"/>
        <v>Baker</v>
      </c>
      <c r="H5" s="1">
        <v>4.0</v>
      </c>
      <c r="I5" s="1">
        <f t="shared" ref="I5:I13" si="9">MAX(MIN(E5,F5),D5)</f>
        <v>1</v>
      </c>
      <c r="J5" s="1" t="str">
        <f t="shared" si="2"/>
        <v/>
      </c>
      <c r="K5" s="1">
        <f t="shared" si="3"/>
        <v>5</v>
      </c>
      <c r="L5" s="1">
        <f t="shared" si="4"/>
        <v>0</v>
      </c>
      <c r="M5" s="1">
        <f t="shared" si="5"/>
        <v>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>
        <v>3.0</v>
      </c>
      <c r="C6" s="1">
        <v>1.0</v>
      </c>
      <c r="D6" s="1">
        <f t="shared" si="6"/>
        <v>2</v>
      </c>
      <c r="E6" s="1">
        <f t="shared" si="7"/>
        <v>4</v>
      </c>
      <c r="F6" s="1">
        <f t="shared" si="8"/>
        <v>5</v>
      </c>
      <c r="G6" s="1" t="str">
        <f t="shared" si="1"/>
        <v>Able</v>
      </c>
      <c r="H6" s="1">
        <v>3.0</v>
      </c>
      <c r="I6" s="1">
        <f t="shared" si="9"/>
        <v>4</v>
      </c>
      <c r="J6" s="1">
        <f t="shared" si="2"/>
        <v>7</v>
      </c>
      <c r="K6" s="1" t="str">
        <f t="shared" si="3"/>
        <v/>
      </c>
      <c r="L6" s="1">
        <f t="shared" si="4"/>
        <v>2</v>
      </c>
      <c r="M6" s="1">
        <f t="shared" si="5"/>
        <v>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>
        <v>4.0</v>
      </c>
      <c r="C7" s="3">
        <v>5.0</v>
      </c>
      <c r="D7" s="1">
        <f t="shared" si="6"/>
        <v>7</v>
      </c>
      <c r="E7" s="1">
        <f t="shared" si="7"/>
        <v>7</v>
      </c>
      <c r="F7" s="1">
        <f t="shared" si="8"/>
        <v>5</v>
      </c>
      <c r="G7" s="1" t="str">
        <f t="shared" si="1"/>
        <v>Able</v>
      </c>
      <c r="H7" s="1">
        <v>3.0</v>
      </c>
      <c r="I7" s="1">
        <f t="shared" si="9"/>
        <v>7</v>
      </c>
      <c r="J7" s="1">
        <f t="shared" si="2"/>
        <v>10</v>
      </c>
      <c r="K7" s="1" t="str">
        <f t="shared" si="3"/>
        <v/>
      </c>
      <c r="L7" s="1">
        <f t="shared" si="4"/>
        <v>0</v>
      </c>
      <c r="M7" s="1">
        <f t="shared" si="5"/>
        <v>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>
        <v>5.0</v>
      </c>
      <c r="C8" s="1">
        <v>2.0</v>
      </c>
      <c r="D8" s="1">
        <f t="shared" si="6"/>
        <v>9</v>
      </c>
      <c r="E8" s="1">
        <f t="shared" si="7"/>
        <v>10</v>
      </c>
      <c r="F8" s="1">
        <f t="shared" si="8"/>
        <v>5</v>
      </c>
      <c r="G8" s="1" t="str">
        <f t="shared" si="1"/>
        <v>Baker</v>
      </c>
      <c r="H8" s="1">
        <v>5.0</v>
      </c>
      <c r="I8" s="1">
        <f t="shared" si="9"/>
        <v>9</v>
      </c>
      <c r="J8" s="1" t="str">
        <f t="shared" si="2"/>
        <v/>
      </c>
      <c r="K8" s="1">
        <f t="shared" si="3"/>
        <v>14</v>
      </c>
      <c r="L8" s="1">
        <f t="shared" si="4"/>
        <v>0</v>
      </c>
      <c r="M8" s="1">
        <f t="shared" si="5"/>
        <v>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>
        <v>6.0</v>
      </c>
      <c r="C9" s="1">
        <v>2.0</v>
      </c>
      <c r="D9" s="1">
        <f t="shared" si="6"/>
        <v>11</v>
      </c>
      <c r="E9" s="1">
        <f t="shared" si="7"/>
        <v>10</v>
      </c>
      <c r="F9" s="1">
        <f t="shared" si="8"/>
        <v>14</v>
      </c>
      <c r="G9" s="1" t="str">
        <f t="shared" si="1"/>
        <v>Able</v>
      </c>
      <c r="H9" s="1">
        <v>5.0</v>
      </c>
      <c r="I9" s="1">
        <f t="shared" si="9"/>
        <v>11</v>
      </c>
      <c r="J9" s="1">
        <f t="shared" si="2"/>
        <v>16</v>
      </c>
      <c r="K9" s="1" t="str">
        <f t="shared" si="3"/>
        <v/>
      </c>
      <c r="L9" s="1">
        <f t="shared" si="4"/>
        <v>0</v>
      </c>
      <c r="M9" s="1">
        <f t="shared" si="5"/>
        <v>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>
        <v>7.0</v>
      </c>
      <c r="C10" s="3">
        <v>6.0</v>
      </c>
      <c r="D10" s="1">
        <f t="shared" si="6"/>
        <v>17</v>
      </c>
      <c r="E10" s="1">
        <f t="shared" si="7"/>
        <v>16</v>
      </c>
      <c r="F10" s="1">
        <f t="shared" si="8"/>
        <v>14</v>
      </c>
      <c r="G10" s="1" t="str">
        <f t="shared" si="1"/>
        <v>Able</v>
      </c>
      <c r="H10" s="1">
        <v>5.0</v>
      </c>
      <c r="I10" s="1">
        <f t="shared" si="9"/>
        <v>17</v>
      </c>
      <c r="J10" s="1">
        <f t="shared" si="2"/>
        <v>22</v>
      </c>
      <c r="K10" s="1" t="str">
        <f t="shared" si="3"/>
        <v/>
      </c>
      <c r="L10" s="1">
        <f t="shared" si="4"/>
        <v>0</v>
      </c>
      <c r="M10" s="1">
        <f t="shared" si="5"/>
        <v>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>
        <v>8.0</v>
      </c>
      <c r="C11" s="1">
        <v>2.0</v>
      </c>
      <c r="D11" s="1">
        <f t="shared" si="6"/>
        <v>19</v>
      </c>
      <c r="E11" s="1">
        <f t="shared" si="7"/>
        <v>22</v>
      </c>
      <c r="F11" s="1">
        <f t="shared" si="8"/>
        <v>14</v>
      </c>
      <c r="G11" s="1" t="str">
        <f t="shared" si="1"/>
        <v>Baker</v>
      </c>
      <c r="H11" s="1">
        <v>4.0</v>
      </c>
      <c r="I11" s="1">
        <f t="shared" si="9"/>
        <v>19</v>
      </c>
      <c r="J11" s="1" t="str">
        <f t="shared" si="2"/>
        <v/>
      </c>
      <c r="K11" s="1">
        <f t="shared" si="3"/>
        <v>23</v>
      </c>
      <c r="L11" s="1">
        <f t="shared" si="4"/>
        <v>0</v>
      </c>
      <c r="M11" s="1">
        <f t="shared" si="5"/>
        <v>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>
        <v>9.0</v>
      </c>
      <c r="C12" s="1">
        <v>4.0</v>
      </c>
      <c r="D12" s="1">
        <f t="shared" si="6"/>
        <v>23</v>
      </c>
      <c r="E12" s="1">
        <f t="shared" si="7"/>
        <v>22</v>
      </c>
      <c r="F12" s="1">
        <f t="shared" si="8"/>
        <v>23</v>
      </c>
      <c r="G12" s="1" t="str">
        <f t="shared" si="1"/>
        <v>Able</v>
      </c>
      <c r="H12" s="1">
        <v>2.0</v>
      </c>
      <c r="I12" s="1">
        <f t="shared" si="9"/>
        <v>23</v>
      </c>
      <c r="J12" s="1">
        <f t="shared" si="2"/>
        <v>25</v>
      </c>
      <c r="K12" s="1" t="str">
        <f t="shared" si="3"/>
        <v/>
      </c>
      <c r="L12" s="1">
        <f t="shared" si="4"/>
        <v>0</v>
      </c>
      <c r="M12" s="1">
        <f t="shared" si="5"/>
        <v>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>
        <v>10.0</v>
      </c>
      <c r="C13" s="1">
        <v>1.0</v>
      </c>
      <c r="D13" s="1">
        <f t="shared" si="6"/>
        <v>24</v>
      </c>
      <c r="E13" s="1">
        <f t="shared" si="7"/>
        <v>25</v>
      </c>
      <c r="F13" s="1">
        <f t="shared" si="8"/>
        <v>23</v>
      </c>
      <c r="G13" s="1" t="str">
        <f t="shared" si="1"/>
        <v>Baker</v>
      </c>
      <c r="H13" s="1">
        <v>3.0</v>
      </c>
      <c r="I13" s="1">
        <f t="shared" si="9"/>
        <v>24</v>
      </c>
      <c r="J13" s="1" t="str">
        <f t="shared" si="2"/>
        <v/>
      </c>
      <c r="K13" s="1">
        <f t="shared" si="3"/>
        <v>27</v>
      </c>
      <c r="L13" s="1">
        <f t="shared" si="4"/>
        <v>0</v>
      </c>
      <c r="M13" s="1">
        <f t="shared" si="5"/>
        <v>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J2:K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100060503</dc:creator>
</cp:coreProperties>
</file>